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7"/>
  <workbookPr hidePivotFieldList="1" defaultThemeVersion="166925"/>
  <xr:revisionPtr revIDLastSave="0" documentId="8_{AE95F757-3B42-4616-9BEE-F07596092B1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ats" sheetId="1" r:id="rId1"/>
    <sheet name="Sheet1" sheetId="10" r:id="rId2"/>
    <sheet name="Teams" sheetId="2" r:id="rId3"/>
    <sheet name="By Division" sheetId="3" r:id="rId4"/>
    <sheet name="Wins and Loses" sheetId="5" r:id="rId5"/>
    <sheet name="Highest Average Points" sheetId="7" r:id="rId6"/>
    <sheet name="Average Points Allowed" sheetId="8" r:id="rId7"/>
    <sheet name="Home v. Away" sheetId="9" r:id="rId8"/>
  </sheets>
  <definedNames>
    <definedName name="_xlnm._FilterDatabase" localSheetId="0" hidden="1">Stats!$A$1:$N$286</definedName>
    <definedName name="_xlnm._FilterDatabase" localSheetId="2" hidden="1">Teams!$A$1:$E$33</definedName>
    <definedName name="_xlnm._FilterDatabase" localSheetId="3" hidden="1">'By Division'!$A$1:$C$40</definedName>
  </definedNames>
  <calcPr calcId="191028"/>
  <pivotCaches>
    <pivotCache cacheId="27858" r:id="rId9"/>
    <pivotCache cacheId="2785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2" i="2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" i="9"/>
  <c r="AN40" i="3"/>
  <c r="AM40" i="3"/>
  <c r="AL40" i="3"/>
  <c r="AK40" i="3"/>
  <c r="AC40" i="3"/>
  <c r="AA40" i="3"/>
  <c r="W40" i="3"/>
  <c r="U40" i="3"/>
  <c r="Q40" i="3"/>
  <c r="P40" i="3"/>
  <c r="L40" i="3"/>
  <c r="J40" i="3"/>
  <c r="G40" i="3"/>
  <c r="F40" i="3"/>
  <c r="E40" i="3"/>
  <c r="D40" i="3"/>
  <c r="AN39" i="3"/>
  <c r="AM39" i="3"/>
  <c r="AL39" i="3"/>
  <c r="AK39" i="3"/>
  <c r="AC39" i="3"/>
  <c r="AA39" i="3"/>
  <c r="W39" i="3"/>
  <c r="U39" i="3"/>
  <c r="Q39" i="3"/>
  <c r="P39" i="3"/>
  <c r="L39" i="3"/>
  <c r="J39" i="3"/>
  <c r="G39" i="3"/>
  <c r="F39" i="3"/>
  <c r="E39" i="3"/>
  <c r="D39" i="3"/>
  <c r="AN38" i="3"/>
  <c r="AM38" i="3"/>
  <c r="AL38" i="3"/>
  <c r="AK38" i="3"/>
  <c r="AC38" i="3"/>
  <c r="AA38" i="3"/>
  <c r="W38" i="3"/>
  <c r="U38" i="3"/>
  <c r="Q38" i="3"/>
  <c r="P38" i="3"/>
  <c r="L38" i="3"/>
  <c r="J38" i="3"/>
  <c r="G38" i="3"/>
  <c r="F38" i="3"/>
  <c r="E38" i="3"/>
  <c r="D38" i="3"/>
  <c r="AN37" i="3"/>
  <c r="AM37" i="3"/>
  <c r="AL37" i="3"/>
  <c r="AK37" i="3"/>
  <c r="AC37" i="3"/>
  <c r="AA37" i="3"/>
  <c r="W37" i="3"/>
  <c r="U37" i="3"/>
  <c r="Q37" i="3"/>
  <c r="P37" i="3"/>
  <c r="L37" i="3"/>
  <c r="J37" i="3"/>
  <c r="G37" i="3"/>
  <c r="F37" i="3"/>
  <c r="E37" i="3"/>
  <c r="D37" i="3"/>
  <c r="AN35" i="3"/>
  <c r="AM35" i="3"/>
  <c r="AL35" i="3"/>
  <c r="AK35" i="3"/>
  <c r="AC35" i="3"/>
  <c r="AA35" i="3"/>
  <c r="W35" i="3"/>
  <c r="U35" i="3"/>
  <c r="Q35" i="3"/>
  <c r="P35" i="3"/>
  <c r="L35" i="3"/>
  <c r="J35" i="3"/>
  <c r="G35" i="3"/>
  <c r="F35" i="3"/>
  <c r="E35" i="3"/>
  <c r="D35" i="3"/>
  <c r="AN34" i="3"/>
  <c r="AM34" i="3"/>
  <c r="AL34" i="3"/>
  <c r="AK34" i="3"/>
  <c r="AC34" i="3"/>
  <c r="AA34" i="3"/>
  <c r="W34" i="3"/>
  <c r="U34" i="3"/>
  <c r="Q34" i="3"/>
  <c r="P34" i="3"/>
  <c r="L34" i="3"/>
  <c r="J34" i="3"/>
  <c r="G34" i="3"/>
  <c r="F34" i="3"/>
  <c r="E34" i="3"/>
  <c r="D34" i="3"/>
  <c r="AN33" i="3"/>
  <c r="AM33" i="3"/>
  <c r="AL33" i="3"/>
  <c r="AK33" i="3"/>
  <c r="AC33" i="3"/>
  <c r="AA33" i="3"/>
  <c r="W33" i="3"/>
  <c r="U33" i="3"/>
  <c r="Q33" i="3"/>
  <c r="P33" i="3"/>
  <c r="L33" i="3"/>
  <c r="J33" i="3"/>
  <c r="G33" i="3"/>
  <c r="F33" i="3"/>
  <c r="E33" i="3"/>
  <c r="D33" i="3"/>
  <c r="AN32" i="3"/>
  <c r="AM32" i="3"/>
  <c r="AL32" i="3"/>
  <c r="AK32" i="3"/>
  <c r="AC32" i="3"/>
  <c r="AA32" i="3"/>
  <c r="W32" i="3"/>
  <c r="U32" i="3"/>
  <c r="Q32" i="3"/>
  <c r="P32" i="3"/>
  <c r="L32" i="3"/>
  <c r="J32" i="3"/>
  <c r="G32" i="3"/>
  <c r="F32" i="3"/>
  <c r="E32" i="3"/>
  <c r="D32" i="3"/>
  <c r="AN30" i="3"/>
  <c r="AM30" i="3"/>
  <c r="AL30" i="3"/>
  <c r="AK30" i="3"/>
  <c r="AC30" i="3"/>
  <c r="AA30" i="3"/>
  <c r="W30" i="3"/>
  <c r="U30" i="3"/>
  <c r="Q30" i="3"/>
  <c r="P30" i="3"/>
  <c r="L30" i="3"/>
  <c r="J30" i="3"/>
  <c r="G30" i="3"/>
  <c r="F30" i="3"/>
  <c r="E30" i="3"/>
  <c r="D30" i="3"/>
  <c r="AN29" i="3"/>
  <c r="AM29" i="3"/>
  <c r="AL29" i="3"/>
  <c r="AK29" i="3"/>
  <c r="AC29" i="3"/>
  <c r="AA29" i="3"/>
  <c r="W29" i="3"/>
  <c r="U29" i="3"/>
  <c r="Q29" i="3"/>
  <c r="P29" i="3"/>
  <c r="L29" i="3"/>
  <c r="J29" i="3"/>
  <c r="G29" i="3"/>
  <c r="F29" i="3"/>
  <c r="E29" i="3"/>
  <c r="D29" i="3"/>
  <c r="AN28" i="3"/>
  <c r="AM28" i="3"/>
  <c r="AL28" i="3"/>
  <c r="AK28" i="3"/>
  <c r="AC28" i="3"/>
  <c r="AA28" i="3"/>
  <c r="W28" i="3"/>
  <c r="U28" i="3"/>
  <c r="Q28" i="3"/>
  <c r="P28" i="3"/>
  <c r="L28" i="3"/>
  <c r="J28" i="3"/>
  <c r="G28" i="3"/>
  <c r="F28" i="3"/>
  <c r="E28" i="3"/>
  <c r="D28" i="3"/>
  <c r="AN27" i="3"/>
  <c r="AM27" i="3"/>
  <c r="AL27" i="3"/>
  <c r="AK27" i="3"/>
  <c r="AC27" i="3"/>
  <c r="AA27" i="3"/>
  <c r="W27" i="3"/>
  <c r="U27" i="3"/>
  <c r="Q27" i="3"/>
  <c r="P27" i="3"/>
  <c r="L27" i="3"/>
  <c r="J27" i="3"/>
  <c r="G27" i="3"/>
  <c r="F27" i="3"/>
  <c r="E27" i="3"/>
  <c r="D27" i="3"/>
  <c r="AN25" i="3"/>
  <c r="AM25" i="3"/>
  <c r="AL25" i="3"/>
  <c r="AK25" i="3"/>
  <c r="AC25" i="3"/>
  <c r="AA25" i="3"/>
  <c r="AE25" i="3" s="1"/>
  <c r="W25" i="3"/>
  <c r="U25" i="3"/>
  <c r="Y25" i="3" s="1"/>
  <c r="Q25" i="3"/>
  <c r="P25" i="3"/>
  <c r="L25" i="3"/>
  <c r="J25" i="3"/>
  <c r="N25" i="3" s="1"/>
  <c r="G25" i="3"/>
  <c r="F25" i="3"/>
  <c r="E25" i="3"/>
  <c r="AR25" i="3" s="1"/>
  <c r="D25" i="3"/>
  <c r="AO25" i="3" s="1"/>
  <c r="AN24" i="3"/>
  <c r="AM24" i="3"/>
  <c r="AL24" i="3"/>
  <c r="AK24" i="3"/>
  <c r="AC24" i="3"/>
  <c r="AA24" i="3"/>
  <c r="W24" i="3"/>
  <c r="U24" i="3"/>
  <c r="Q24" i="3"/>
  <c r="P24" i="3"/>
  <c r="L24" i="3"/>
  <c r="J24" i="3"/>
  <c r="G24" i="3"/>
  <c r="F24" i="3"/>
  <c r="E24" i="3"/>
  <c r="AB24" i="3" s="1"/>
  <c r="D24" i="3"/>
  <c r="V24" i="3" s="1"/>
  <c r="AN23" i="3"/>
  <c r="AM23" i="3"/>
  <c r="AL23" i="3"/>
  <c r="AK23" i="3"/>
  <c r="AC23" i="3"/>
  <c r="AA23" i="3"/>
  <c r="W23" i="3"/>
  <c r="U23" i="3"/>
  <c r="Y23" i="3" s="1"/>
  <c r="Q23" i="3"/>
  <c r="P23" i="3"/>
  <c r="L23" i="3"/>
  <c r="J23" i="3"/>
  <c r="G23" i="3"/>
  <c r="F23" i="3"/>
  <c r="AV23" i="3" s="1"/>
  <c r="E23" i="3"/>
  <c r="AS23" i="3" s="1"/>
  <c r="D23" i="3"/>
  <c r="AP23" i="3" s="1"/>
  <c r="AN22" i="3"/>
  <c r="AM22" i="3"/>
  <c r="AL22" i="3"/>
  <c r="AK22" i="3"/>
  <c r="AC22" i="3"/>
  <c r="AA22" i="3"/>
  <c r="AE22" i="3" s="1"/>
  <c r="W22" i="3"/>
  <c r="U22" i="3"/>
  <c r="Q22" i="3"/>
  <c r="P22" i="3"/>
  <c r="L22" i="3"/>
  <c r="J22" i="3"/>
  <c r="N22" i="3" s="1"/>
  <c r="G22" i="3"/>
  <c r="F22" i="3"/>
  <c r="E22" i="3"/>
  <c r="AR22" i="3" s="1"/>
  <c r="D22" i="3"/>
  <c r="AO22" i="3" s="1"/>
  <c r="AN20" i="3"/>
  <c r="AM20" i="3"/>
  <c r="AL20" i="3"/>
  <c r="AK20" i="3"/>
  <c r="AC20" i="3"/>
  <c r="AA20" i="3"/>
  <c r="W20" i="3"/>
  <c r="U20" i="3"/>
  <c r="Q20" i="3"/>
  <c r="P20" i="3"/>
  <c r="L20" i="3"/>
  <c r="J20" i="3"/>
  <c r="G20" i="3"/>
  <c r="F20" i="3"/>
  <c r="E20" i="3"/>
  <c r="AS20" i="3" s="1"/>
  <c r="D20" i="3"/>
  <c r="AP20" i="3" s="1"/>
  <c r="AN19" i="3"/>
  <c r="AM19" i="3"/>
  <c r="AL19" i="3"/>
  <c r="AK19" i="3"/>
  <c r="AC19" i="3"/>
  <c r="AA19" i="3"/>
  <c r="W19" i="3"/>
  <c r="U19" i="3"/>
  <c r="Y19" i="3" s="1"/>
  <c r="Q19" i="3"/>
  <c r="P19" i="3"/>
  <c r="L19" i="3"/>
  <c r="J19" i="3"/>
  <c r="G19" i="3"/>
  <c r="F19" i="3"/>
  <c r="AV19" i="3" s="1"/>
  <c r="E19" i="3"/>
  <c r="AS19" i="3" s="1"/>
  <c r="D19" i="3"/>
  <c r="AP19" i="3" s="1"/>
  <c r="AN18" i="3"/>
  <c r="AM18" i="3"/>
  <c r="AL18" i="3"/>
  <c r="AK18" i="3"/>
  <c r="AC18" i="3"/>
  <c r="AA18" i="3"/>
  <c r="AE18" i="3" s="1"/>
  <c r="W18" i="3"/>
  <c r="U18" i="3"/>
  <c r="Q18" i="3"/>
  <c r="P18" i="3"/>
  <c r="L18" i="3"/>
  <c r="J18" i="3"/>
  <c r="G18" i="3"/>
  <c r="F18" i="3"/>
  <c r="E18" i="3"/>
  <c r="AR18" i="3" s="1"/>
  <c r="D18" i="3"/>
  <c r="AO18" i="3" s="1"/>
  <c r="AN17" i="3"/>
  <c r="AM17" i="3"/>
  <c r="AL17" i="3"/>
  <c r="AK17" i="3"/>
  <c r="AC17" i="3"/>
  <c r="AA17" i="3"/>
  <c r="W17" i="3"/>
  <c r="U17" i="3"/>
  <c r="Q17" i="3"/>
  <c r="P17" i="3"/>
  <c r="L17" i="3"/>
  <c r="J17" i="3"/>
  <c r="G17" i="3"/>
  <c r="F17" i="3"/>
  <c r="E17" i="3"/>
  <c r="AS17" i="3" s="1"/>
  <c r="D17" i="3"/>
  <c r="AP17" i="3" s="1"/>
  <c r="AN15" i="3"/>
  <c r="AM15" i="3"/>
  <c r="AL15" i="3"/>
  <c r="AK15" i="3"/>
  <c r="AC15" i="3"/>
  <c r="AA15" i="3"/>
  <c r="W15" i="3"/>
  <c r="U15" i="3"/>
  <c r="Y15" i="3" s="1"/>
  <c r="Q15" i="3"/>
  <c r="P15" i="3"/>
  <c r="L15" i="3"/>
  <c r="J15" i="3"/>
  <c r="G15" i="3"/>
  <c r="F15" i="3"/>
  <c r="AV15" i="3" s="1"/>
  <c r="E15" i="3"/>
  <c r="AS15" i="3" s="1"/>
  <c r="D15" i="3"/>
  <c r="AP15" i="3" s="1"/>
  <c r="AN14" i="3"/>
  <c r="AM14" i="3"/>
  <c r="AL14" i="3"/>
  <c r="AK14" i="3"/>
  <c r="AC14" i="3"/>
  <c r="AA14" i="3"/>
  <c r="W14" i="3"/>
  <c r="U14" i="3"/>
  <c r="Q14" i="3"/>
  <c r="P14" i="3"/>
  <c r="L14" i="3"/>
  <c r="J14" i="3"/>
  <c r="N14" i="3" s="1"/>
  <c r="G14" i="3"/>
  <c r="F14" i="3"/>
  <c r="E14" i="3"/>
  <c r="AS14" i="3" s="1"/>
  <c r="D14" i="3"/>
  <c r="AP14" i="3" s="1"/>
  <c r="AN13" i="3"/>
  <c r="AM13" i="3"/>
  <c r="AL13" i="3"/>
  <c r="AK13" i="3"/>
  <c r="AC13" i="3"/>
  <c r="AA13" i="3"/>
  <c r="W13" i="3"/>
  <c r="U13" i="3"/>
  <c r="Q13" i="3"/>
  <c r="P13" i="3"/>
  <c r="L13" i="3"/>
  <c r="J13" i="3"/>
  <c r="G13" i="3"/>
  <c r="F13" i="3"/>
  <c r="E13" i="3"/>
  <c r="AS13" i="3" s="1"/>
  <c r="D13" i="3"/>
  <c r="AP13" i="3" s="1"/>
  <c r="AN12" i="3"/>
  <c r="AM12" i="3"/>
  <c r="AL12" i="3"/>
  <c r="AK12" i="3"/>
  <c r="AC12" i="3"/>
  <c r="AA12" i="3"/>
  <c r="W12" i="3"/>
  <c r="U12" i="3"/>
  <c r="Q12" i="3"/>
  <c r="P12" i="3"/>
  <c r="L12" i="3"/>
  <c r="J12" i="3"/>
  <c r="G12" i="3"/>
  <c r="F12" i="3"/>
  <c r="E12" i="3"/>
  <c r="AR12" i="3" s="1"/>
  <c r="D12" i="3"/>
  <c r="AO12" i="3" s="1"/>
  <c r="AN10" i="3"/>
  <c r="AM10" i="3"/>
  <c r="AL10" i="3"/>
  <c r="AK10" i="3"/>
  <c r="AC10" i="3"/>
  <c r="AA10" i="3"/>
  <c r="W10" i="3"/>
  <c r="U10" i="3"/>
  <c r="Q10" i="3"/>
  <c r="P10" i="3"/>
  <c r="L10" i="3"/>
  <c r="J10" i="3"/>
  <c r="G10" i="3"/>
  <c r="F10" i="3"/>
  <c r="E10" i="3"/>
  <c r="AS10" i="3" s="1"/>
  <c r="D10" i="3"/>
  <c r="AP10" i="3" s="1"/>
  <c r="AN9" i="3"/>
  <c r="AM9" i="3"/>
  <c r="AL9" i="3"/>
  <c r="AK9" i="3"/>
  <c r="AC9" i="3"/>
  <c r="AA9" i="3"/>
  <c r="W9" i="3"/>
  <c r="U9" i="3"/>
  <c r="Q9" i="3"/>
  <c r="P9" i="3"/>
  <c r="L9" i="3"/>
  <c r="J9" i="3"/>
  <c r="G9" i="3"/>
  <c r="F9" i="3"/>
  <c r="E9" i="3"/>
  <c r="AS9" i="3" s="1"/>
  <c r="D9" i="3"/>
  <c r="AP9" i="3" s="1"/>
  <c r="AN8" i="3"/>
  <c r="AM8" i="3"/>
  <c r="AL8" i="3"/>
  <c r="AK8" i="3"/>
  <c r="AC8" i="3"/>
  <c r="AA8" i="3"/>
  <c r="W8" i="3"/>
  <c r="U8" i="3"/>
  <c r="Q8" i="3"/>
  <c r="P8" i="3"/>
  <c r="L8" i="3"/>
  <c r="J8" i="3"/>
  <c r="G8" i="3"/>
  <c r="F8" i="3"/>
  <c r="E8" i="3"/>
  <c r="AR8" i="3" s="1"/>
  <c r="D8" i="3"/>
  <c r="AP8" i="3" s="1"/>
  <c r="AN7" i="3"/>
  <c r="AM7" i="3"/>
  <c r="AL7" i="3"/>
  <c r="AK7" i="3"/>
  <c r="AC7" i="3"/>
  <c r="AA7" i="3"/>
  <c r="W7" i="3"/>
  <c r="U7" i="3"/>
  <c r="Q7" i="3"/>
  <c r="P7" i="3"/>
  <c r="L7" i="3"/>
  <c r="J7" i="3"/>
  <c r="G7" i="3"/>
  <c r="F7" i="3"/>
  <c r="E7" i="3"/>
  <c r="D7" i="3"/>
  <c r="AN5" i="3"/>
  <c r="AM5" i="3"/>
  <c r="AL5" i="3"/>
  <c r="AK5" i="3"/>
  <c r="AC5" i="3"/>
  <c r="AA5" i="3"/>
  <c r="W5" i="3"/>
  <c r="U5" i="3"/>
  <c r="Q5" i="3"/>
  <c r="P5" i="3"/>
  <c r="L5" i="3"/>
  <c r="J5" i="3"/>
  <c r="G5" i="3"/>
  <c r="F5" i="3"/>
  <c r="E5" i="3"/>
  <c r="AR5" i="3" s="1"/>
  <c r="D5" i="3"/>
  <c r="AP5" i="3" s="1"/>
  <c r="AN4" i="3"/>
  <c r="AM4" i="3"/>
  <c r="AL4" i="3"/>
  <c r="AK4" i="3"/>
  <c r="AC4" i="3"/>
  <c r="AA4" i="3"/>
  <c r="W4" i="3"/>
  <c r="U4" i="3"/>
  <c r="Q4" i="3"/>
  <c r="P4" i="3"/>
  <c r="L4" i="3"/>
  <c r="J4" i="3"/>
  <c r="G4" i="3"/>
  <c r="F4" i="3"/>
  <c r="E4" i="3"/>
  <c r="AR4" i="3" s="1"/>
  <c r="D4" i="3"/>
  <c r="AP4" i="3" s="1"/>
  <c r="AN3" i="3"/>
  <c r="AM3" i="3"/>
  <c r="AL3" i="3"/>
  <c r="AK3" i="3"/>
  <c r="AC3" i="3"/>
  <c r="AA3" i="3"/>
  <c r="W3" i="3"/>
  <c r="U3" i="3"/>
  <c r="Q3" i="3"/>
  <c r="P3" i="3"/>
  <c r="L3" i="3"/>
  <c r="J3" i="3"/>
  <c r="G3" i="3"/>
  <c r="F3" i="3"/>
  <c r="E3" i="3"/>
  <c r="D3" i="3"/>
  <c r="AN2" i="3"/>
  <c r="AM2" i="3"/>
  <c r="AL2" i="3"/>
  <c r="AK2" i="3"/>
  <c r="AC2" i="3"/>
  <c r="AA2" i="3"/>
  <c r="W2" i="3"/>
  <c r="U2" i="3"/>
  <c r="Q2" i="3"/>
  <c r="P2" i="3"/>
  <c r="L2" i="3"/>
  <c r="J2" i="3"/>
  <c r="G2" i="3"/>
  <c r="F2" i="3"/>
  <c r="E2" i="3"/>
  <c r="AS2" i="3" s="1"/>
  <c r="D2" i="3"/>
  <c r="AP2" i="3" s="1"/>
  <c r="F3" i="2"/>
  <c r="G3" i="2"/>
  <c r="H3" i="2"/>
  <c r="AX3" i="2" s="1"/>
  <c r="I3" i="2"/>
  <c r="K3" i="2" s="1"/>
  <c r="L3" i="2"/>
  <c r="M3" i="2" s="1"/>
  <c r="N3" i="2"/>
  <c r="O3" i="2" s="1"/>
  <c r="R3" i="2"/>
  <c r="S3" i="2"/>
  <c r="U3" i="2" s="1"/>
  <c r="T3" i="2"/>
  <c r="X3" i="2"/>
  <c r="Y3" i="2" s="1"/>
  <c r="Z3" i="2"/>
  <c r="AA3" i="2" s="1"/>
  <c r="AD3" i="2"/>
  <c r="AE3" i="2" s="1"/>
  <c r="AF3" i="2"/>
  <c r="AG3" i="2" s="1"/>
  <c r="AN3" i="2"/>
  <c r="AO3" i="2"/>
  <c r="AP3" i="2"/>
  <c r="AQ3" i="2"/>
  <c r="AS3" i="2"/>
  <c r="AU3" i="2"/>
  <c r="AV3" i="2"/>
  <c r="AW3" i="2" s="1"/>
  <c r="F4" i="2"/>
  <c r="G4" i="2"/>
  <c r="K4" i="2" s="1"/>
  <c r="H4" i="2"/>
  <c r="I4" i="2"/>
  <c r="L4" i="2"/>
  <c r="M4" i="2" s="1"/>
  <c r="N4" i="2"/>
  <c r="O4" i="2" s="1"/>
  <c r="R4" i="2"/>
  <c r="S4" i="2"/>
  <c r="U4" i="2" s="1"/>
  <c r="X4" i="2"/>
  <c r="Y4" i="2" s="1"/>
  <c r="Z4" i="2"/>
  <c r="AA4" i="2" s="1"/>
  <c r="AB4" i="2"/>
  <c r="AD4" i="2"/>
  <c r="AE4" i="2" s="1"/>
  <c r="AI4" i="2" s="1"/>
  <c r="AF4" i="2"/>
  <c r="AG4" i="2" s="1"/>
  <c r="AN4" i="2"/>
  <c r="AO4" i="2"/>
  <c r="AP4" i="2"/>
  <c r="AQ4" i="2"/>
  <c r="AU4" i="2"/>
  <c r="F5" i="2"/>
  <c r="G5" i="2"/>
  <c r="H5" i="2"/>
  <c r="AY5" i="2" s="1"/>
  <c r="I5" i="2"/>
  <c r="L5" i="2"/>
  <c r="M5" i="2" s="1"/>
  <c r="N5" i="2"/>
  <c r="P5" i="2"/>
  <c r="Q5" i="2" s="1"/>
  <c r="R5" i="2"/>
  <c r="S5" i="2"/>
  <c r="V5" i="2"/>
  <c r="X5" i="2"/>
  <c r="Y5" i="2" s="1"/>
  <c r="Z5" i="2"/>
  <c r="AD5" i="2"/>
  <c r="AE5" i="2" s="1"/>
  <c r="AI5" i="2" s="1"/>
  <c r="AF5" i="2"/>
  <c r="AG5" i="2" s="1"/>
  <c r="AN5" i="2"/>
  <c r="AO5" i="2"/>
  <c r="AP5" i="2"/>
  <c r="AQ5" i="2"/>
  <c r="AR5" i="2"/>
  <c r="AS5" i="2"/>
  <c r="AU5" i="2"/>
  <c r="AX5" i="2"/>
  <c r="F6" i="2"/>
  <c r="G6" i="2"/>
  <c r="H6" i="2"/>
  <c r="AX6" i="2" s="1"/>
  <c r="I6" i="2"/>
  <c r="K6" i="2"/>
  <c r="L6" i="2"/>
  <c r="M6" i="2" s="1"/>
  <c r="N6" i="2"/>
  <c r="R6" i="2"/>
  <c r="S6" i="2"/>
  <c r="U6" i="2" s="1"/>
  <c r="X6" i="2"/>
  <c r="Z6" i="2"/>
  <c r="AA6" i="2"/>
  <c r="AD6" i="2"/>
  <c r="AF6" i="2"/>
  <c r="AG6" i="2"/>
  <c r="AN6" i="2"/>
  <c r="AO6" i="2"/>
  <c r="AP6" i="2"/>
  <c r="AQ6" i="2"/>
  <c r="AS6" i="2"/>
  <c r="AU6" i="2"/>
  <c r="AV6" i="2"/>
  <c r="AW6" i="2" s="1"/>
  <c r="F7" i="2"/>
  <c r="G7" i="2"/>
  <c r="H7" i="2"/>
  <c r="I7" i="2"/>
  <c r="L7" i="2"/>
  <c r="N7" i="2"/>
  <c r="O7" i="2"/>
  <c r="R7" i="2"/>
  <c r="S7" i="2"/>
  <c r="U7" i="2"/>
  <c r="X7" i="2"/>
  <c r="Y7" i="2" s="1"/>
  <c r="Z7" i="2"/>
  <c r="AA7" i="2" s="1"/>
  <c r="AD7" i="2"/>
  <c r="AE7" i="2"/>
  <c r="AI7" i="2" s="1"/>
  <c r="AF7" i="2"/>
  <c r="AG7" i="2" s="1"/>
  <c r="AN7" i="2"/>
  <c r="AO7" i="2"/>
  <c r="AP7" i="2"/>
  <c r="AQ7" i="2"/>
  <c r="AU7" i="2"/>
  <c r="F8" i="2"/>
  <c r="G8" i="2"/>
  <c r="H8" i="2"/>
  <c r="AY8" i="2" s="1"/>
  <c r="I8" i="2"/>
  <c r="L8" i="2"/>
  <c r="M8" i="2" s="1"/>
  <c r="N8" i="2"/>
  <c r="O8" i="2" s="1"/>
  <c r="P8" i="2"/>
  <c r="Q8" i="2" s="1"/>
  <c r="R8" i="2"/>
  <c r="S8" i="2"/>
  <c r="U8" i="2" s="1"/>
  <c r="V8" i="2"/>
  <c r="X8" i="2"/>
  <c r="Y8" i="2" s="1"/>
  <c r="Z8" i="2"/>
  <c r="AA8" i="2" s="1"/>
  <c r="AD8" i="2"/>
  <c r="AE8" i="2" s="1"/>
  <c r="AF8" i="2"/>
  <c r="AN8" i="2"/>
  <c r="AO8" i="2"/>
  <c r="AP8" i="2"/>
  <c r="AQ8" i="2"/>
  <c r="AR8" i="2"/>
  <c r="AS8" i="2"/>
  <c r="AU8" i="2"/>
  <c r="AX8" i="2"/>
  <c r="F9" i="2"/>
  <c r="G9" i="2"/>
  <c r="H9" i="2"/>
  <c r="I9" i="2"/>
  <c r="K9" i="2" s="1"/>
  <c r="L9" i="2"/>
  <c r="N9" i="2"/>
  <c r="O9" i="2" s="1"/>
  <c r="R9" i="2"/>
  <c r="T9" i="2" s="1"/>
  <c r="S9" i="2"/>
  <c r="U9" i="2" s="1"/>
  <c r="X9" i="2"/>
  <c r="Y9" i="2" s="1"/>
  <c r="Z9" i="2"/>
  <c r="AA9" i="2"/>
  <c r="AD9" i="2"/>
  <c r="AE9" i="2"/>
  <c r="AI9" i="2" s="1"/>
  <c r="AF9" i="2"/>
  <c r="AG9" i="2"/>
  <c r="AH9" i="2"/>
  <c r="AN9" i="2"/>
  <c r="AO9" i="2"/>
  <c r="AP9" i="2"/>
  <c r="AQ9" i="2"/>
  <c r="AS9" i="2"/>
  <c r="AU9" i="2"/>
  <c r="AW9" i="2" s="1"/>
  <c r="AV9" i="2"/>
  <c r="AY9" i="2"/>
  <c r="F10" i="2"/>
  <c r="G10" i="2"/>
  <c r="H10" i="2"/>
  <c r="J10" i="2" s="1"/>
  <c r="I10" i="2"/>
  <c r="L10" i="2"/>
  <c r="M10" i="2" s="1"/>
  <c r="N10" i="2"/>
  <c r="O10" i="2" s="1"/>
  <c r="P10" i="2"/>
  <c r="Q10" i="2" s="1"/>
  <c r="R10" i="2"/>
  <c r="S10" i="2"/>
  <c r="U10" i="2" s="1"/>
  <c r="T10" i="2"/>
  <c r="V10" i="2"/>
  <c r="X10" i="2"/>
  <c r="Y10" i="2" s="1"/>
  <c r="Z10" i="2"/>
  <c r="AA10" i="2" s="1"/>
  <c r="AD10" i="2"/>
  <c r="AE10" i="2" s="1"/>
  <c r="AI10" i="2" s="1"/>
  <c r="AF10" i="2"/>
  <c r="AG10" i="2" s="1"/>
  <c r="AN10" i="2"/>
  <c r="AO10" i="2"/>
  <c r="AP10" i="2"/>
  <c r="AQ10" i="2"/>
  <c r="AR10" i="2"/>
  <c r="AS10" i="2"/>
  <c r="AU10" i="2"/>
  <c r="AW10" i="2" s="1"/>
  <c r="AV10" i="2"/>
  <c r="F11" i="2"/>
  <c r="G11" i="2"/>
  <c r="H11" i="2"/>
  <c r="I11" i="2"/>
  <c r="K11" i="2" s="1"/>
  <c r="L11" i="2"/>
  <c r="N11" i="2"/>
  <c r="O11" i="2" s="1"/>
  <c r="R11" i="2"/>
  <c r="S11" i="2"/>
  <c r="U11" i="2" s="1"/>
  <c r="T11" i="2"/>
  <c r="X11" i="2"/>
  <c r="Z11" i="2"/>
  <c r="AA11" i="2" s="1"/>
  <c r="AD11" i="2"/>
  <c r="AE11" i="2" s="1"/>
  <c r="AF11" i="2"/>
  <c r="AG11" i="2" s="1"/>
  <c r="AN11" i="2"/>
  <c r="AO11" i="2"/>
  <c r="AP11" i="2"/>
  <c r="AQ11" i="2"/>
  <c r="AS11" i="2"/>
  <c r="AU11" i="2"/>
  <c r="AV11" i="2"/>
  <c r="AW11" i="2" s="1"/>
  <c r="AY11" i="2"/>
  <c r="F12" i="2"/>
  <c r="AS12" i="2" s="1"/>
  <c r="G12" i="2"/>
  <c r="H12" i="2"/>
  <c r="I12" i="2"/>
  <c r="L12" i="2"/>
  <c r="M12" i="2" s="1"/>
  <c r="N12" i="2"/>
  <c r="O12" i="2" s="1"/>
  <c r="R12" i="2"/>
  <c r="T12" i="2" s="1"/>
  <c r="S12" i="2"/>
  <c r="U12" i="2" s="1"/>
  <c r="X12" i="2"/>
  <c r="Y12" i="2"/>
  <c r="Z12" i="2"/>
  <c r="AA12" i="2" s="1"/>
  <c r="AD12" i="2"/>
  <c r="AE12" i="2" s="1"/>
  <c r="AI12" i="2" s="1"/>
  <c r="AF12" i="2"/>
  <c r="AG12" i="2" s="1"/>
  <c r="AH12" i="2"/>
  <c r="AN12" i="2"/>
  <c r="AO12" i="2"/>
  <c r="AP12" i="2"/>
  <c r="AQ12" i="2"/>
  <c r="AU12" i="2"/>
  <c r="F13" i="2"/>
  <c r="AR13" i="2" s="1"/>
  <c r="G13" i="2"/>
  <c r="H13" i="2"/>
  <c r="I13" i="2"/>
  <c r="AX13" i="2" s="1"/>
  <c r="L13" i="2"/>
  <c r="M13" i="2"/>
  <c r="N13" i="2"/>
  <c r="P13" i="2"/>
  <c r="R13" i="2"/>
  <c r="S13" i="2"/>
  <c r="X13" i="2"/>
  <c r="Y13" i="2" s="1"/>
  <c r="Z13" i="2"/>
  <c r="AD13" i="2"/>
  <c r="AE13" i="2" s="1"/>
  <c r="AF13" i="2"/>
  <c r="AG13" i="2" s="1"/>
  <c r="AN13" i="2"/>
  <c r="AO13" i="2"/>
  <c r="AP13" i="2"/>
  <c r="AQ13" i="2"/>
  <c r="AS13" i="2"/>
  <c r="AU13" i="2"/>
  <c r="AY13" i="2"/>
  <c r="F14" i="2"/>
  <c r="G14" i="2"/>
  <c r="H14" i="2"/>
  <c r="I14" i="2"/>
  <c r="L14" i="2"/>
  <c r="M14" i="2" s="1"/>
  <c r="N14" i="2"/>
  <c r="O14" i="2" s="1"/>
  <c r="R14" i="2"/>
  <c r="S14" i="2"/>
  <c r="U14" i="2" s="1"/>
  <c r="X14" i="2"/>
  <c r="Y14" i="2" s="1"/>
  <c r="Z14" i="2"/>
  <c r="AA14" i="2" s="1"/>
  <c r="AD14" i="2"/>
  <c r="AE14" i="2" s="1"/>
  <c r="AF14" i="2"/>
  <c r="AG14" i="2" s="1"/>
  <c r="AH14" i="2"/>
  <c r="AN14" i="2"/>
  <c r="AO14" i="2"/>
  <c r="AP14" i="2"/>
  <c r="AQ14" i="2"/>
  <c r="AR14" i="2"/>
  <c r="AS14" i="2"/>
  <c r="AU14" i="2"/>
  <c r="AW14" i="2" s="1"/>
  <c r="AV14" i="2"/>
  <c r="F15" i="2"/>
  <c r="AS15" i="2" s="1"/>
  <c r="G15" i="2"/>
  <c r="H15" i="2"/>
  <c r="I15" i="2"/>
  <c r="AY15" i="2" s="1"/>
  <c r="L15" i="2"/>
  <c r="N15" i="2"/>
  <c r="R15" i="2"/>
  <c r="T15" i="2" s="1"/>
  <c r="S15" i="2"/>
  <c r="X15" i="2"/>
  <c r="Z15" i="2"/>
  <c r="AD15" i="2"/>
  <c r="AF15" i="2"/>
  <c r="AG15" i="2" s="1"/>
  <c r="AN15" i="2"/>
  <c r="AO15" i="2"/>
  <c r="AP15" i="2"/>
  <c r="AQ15" i="2"/>
  <c r="AU15" i="2"/>
  <c r="AV15" i="2"/>
  <c r="F16" i="2"/>
  <c r="AS16" i="2" s="1"/>
  <c r="G16" i="2"/>
  <c r="AU16" i="2" s="1"/>
  <c r="H16" i="2"/>
  <c r="I16" i="2"/>
  <c r="L16" i="2"/>
  <c r="N16" i="2"/>
  <c r="O16" i="2" s="1"/>
  <c r="R16" i="2"/>
  <c r="S16" i="2"/>
  <c r="U16" i="2" s="1"/>
  <c r="X16" i="2"/>
  <c r="Y16" i="2" s="1"/>
  <c r="Z16" i="2"/>
  <c r="AA16" i="2" s="1"/>
  <c r="AD16" i="2"/>
  <c r="AF16" i="2"/>
  <c r="AG16" i="2"/>
  <c r="AN16" i="2"/>
  <c r="AO16" i="2"/>
  <c r="AP16" i="2"/>
  <c r="AQ16" i="2"/>
  <c r="AV16" i="2"/>
  <c r="F17" i="2"/>
  <c r="AR17" i="2" s="1"/>
  <c r="G17" i="2"/>
  <c r="AU17" i="2" s="1"/>
  <c r="H17" i="2"/>
  <c r="I17" i="2"/>
  <c r="L17" i="2"/>
  <c r="N17" i="2"/>
  <c r="O17" i="2" s="1"/>
  <c r="R17" i="2"/>
  <c r="S17" i="2"/>
  <c r="U17" i="2" s="1"/>
  <c r="X17" i="2"/>
  <c r="Z17" i="2"/>
  <c r="AA17" i="2" s="1"/>
  <c r="AD17" i="2"/>
  <c r="AE17" i="2"/>
  <c r="AF17" i="2"/>
  <c r="AN17" i="2"/>
  <c r="AO17" i="2"/>
  <c r="AP17" i="2"/>
  <c r="AQ17" i="2"/>
  <c r="AS17" i="2"/>
  <c r="F18" i="2"/>
  <c r="AS18" i="2" s="1"/>
  <c r="G18" i="2"/>
  <c r="H18" i="2"/>
  <c r="I18" i="2"/>
  <c r="L18" i="2"/>
  <c r="N18" i="2"/>
  <c r="O18" i="2" s="1"/>
  <c r="R18" i="2"/>
  <c r="S18" i="2"/>
  <c r="U18" i="2" s="1"/>
  <c r="T18" i="2"/>
  <c r="X18" i="2"/>
  <c r="Z18" i="2"/>
  <c r="AA18" i="2" s="1"/>
  <c r="AD18" i="2"/>
  <c r="AE18" i="2" s="1"/>
  <c r="AF18" i="2"/>
  <c r="AG18" i="2" s="1"/>
  <c r="AN18" i="2"/>
  <c r="AO18" i="2"/>
  <c r="AP18" i="2"/>
  <c r="AQ18" i="2"/>
  <c r="AU18" i="2"/>
  <c r="AV18" i="2"/>
  <c r="F19" i="2"/>
  <c r="G19" i="2"/>
  <c r="AU19" i="2" s="1"/>
  <c r="AW19" i="2" s="1"/>
  <c r="H19" i="2"/>
  <c r="I19" i="2"/>
  <c r="L19" i="2"/>
  <c r="N19" i="2"/>
  <c r="O19" i="2" s="1"/>
  <c r="R19" i="2"/>
  <c r="S19" i="2"/>
  <c r="U19" i="2" s="1"/>
  <c r="X19" i="2"/>
  <c r="Z19" i="2"/>
  <c r="AD19" i="2"/>
  <c r="AF19" i="2"/>
  <c r="AG19" i="2" s="1"/>
  <c r="AN19" i="2"/>
  <c r="AO19" i="2"/>
  <c r="AP19" i="2"/>
  <c r="AQ19" i="2"/>
  <c r="AV19" i="2"/>
  <c r="F20" i="2"/>
  <c r="AS20" i="2" s="1"/>
  <c r="G20" i="2"/>
  <c r="H20" i="2"/>
  <c r="I20" i="2"/>
  <c r="L20" i="2"/>
  <c r="N20" i="2"/>
  <c r="O20" i="2" s="1"/>
  <c r="R20" i="2"/>
  <c r="S20" i="2"/>
  <c r="X20" i="2"/>
  <c r="Y20" i="2" s="1"/>
  <c r="Z20" i="2"/>
  <c r="AD20" i="2"/>
  <c r="AE20" i="2" s="1"/>
  <c r="AF20" i="2"/>
  <c r="AH20" i="2"/>
  <c r="AN20" i="2"/>
  <c r="AO20" i="2"/>
  <c r="AP20" i="2"/>
  <c r="AQ20" i="2"/>
  <c r="AU20" i="2"/>
  <c r="F21" i="2"/>
  <c r="AR21" i="2" s="1"/>
  <c r="G21" i="2"/>
  <c r="H21" i="2"/>
  <c r="I21" i="2"/>
  <c r="K21" i="2" s="1"/>
  <c r="L21" i="2"/>
  <c r="N21" i="2"/>
  <c r="R21" i="2"/>
  <c r="T21" i="2" s="1"/>
  <c r="S21" i="2"/>
  <c r="X21" i="2"/>
  <c r="Y21" i="2" s="1"/>
  <c r="Z21" i="2"/>
  <c r="AD21" i="2"/>
  <c r="AF21" i="2"/>
  <c r="AG21" i="2" s="1"/>
  <c r="AN21" i="2"/>
  <c r="AO21" i="2"/>
  <c r="AP21" i="2"/>
  <c r="AQ21" i="2"/>
  <c r="AU21" i="2"/>
  <c r="AV21" i="2"/>
  <c r="F22" i="2"/>
  <c r="AS22" i="2" s="1"/>
  <c r="G22" i="2"/>
  <c r="H22" i="2"/>
  <c r="I22" i="2"/>
  <c r="K22" i="2" s="1"/>
  <c r="L22" i="2"/>
  <c r="N22" i="2"/>
  <c r="R22" i="2"/>
  <c r="S22" i="2"/>
  <c r="X22" i="2"/>
  <c r="Y22" i="2" s="1"/>
  <c r="Z22" i="2"/>
  <c r="AD22" i="2"/>
  <c r="AF22" i="2"/>
  <c r="AG22" i="2" s="1"/>
  <c r="AN22" i="2"/>
  <c r="AO22" i="2"/>
  <c r="AP22" i="2"/>
  <c r="AQ22" i="2"/>
  <c r="AU22" i="2"/>
  <c r="AV22" i="2"/>
  <c r="F23" i="2"/>
  <c r="AS23" i="2" s="1"/>
  <c r="G23" i="2"/>
  <c r="H23" i="2"/>
  <c r="I23" i="2"/>
  <c r="L23" i="2"/>
  <c r="N23" i="2"/>
  <c r="O23" i="2" s="1"/>
  <c r="R23" i="2"/>
  <c r="S23" i="2"/>
  <c r="U23" i="2" s="1"/>
  <c r="X23" i="2"/>
  <c r="Y23" i="2" s="1"/>
  <c r="Z23" i="2"/>
  <c r="AD23" i="2"/>
  <c r="AE23" i="2" s="1"/>
  <c r="AF23" i="2"/>
  <c r="AH23" i="2"/>
  <c r="AN23" i="2"/>
  <c r="AO23" i="2"/>
  <c r="AP23" i="2"/>
  <c r="AQ23" i="2"/>
  <c r="AU23" i="2"/>
  <c r="F24" i="2"/>
  <c r="AR24" i="2" s="1"/>
  <c r="G24" i="2"/>
  <c r="H24" i="2"/>
  <c r="I24" i="2"/>
  <c r="K24" i="2" s="1"/>
  <c r="L24" i="2"/>
  <c r="N24" i="2"/>
  <c r="R24" i="2"/>
  <c r="T24" i="2" s="1"/>
  <c r="S24" i="2"/>
  <c r="X24" i="2"/>
  <c r="Z24" i="2"/>
  <c r="AD24" i="2"/>
  <c r="AF24" i="2"/>
  <c r="AG24" i="2" s="1"/>
  <c r="AN24" i="2"/>
  <c r="AO24" i="2"/>
  <c r="AP24" i="2"/>
  <c r="AQ24" i="2"/>
  <c r="AS24" i="2"/>
  <c r="AU24" i="2"/>
  <c r="AV24" i="2"/>
  <c r="AW24" i="2" s="1"/>
  <c r="F25" i="2"/>
  <c r="M25" i="2" s="1"/>
  <c r="G25" i="2"/>
  <c r="AV25" i="2" s="1"/>
  <c r="H25" i="2"/>
  <c r="I25" i="2"/>
  <c r="L25" i="2"/>
  <c r="N25" i="2"/>
  <c r="R25" i="2"/>
  <c r="V25" i="2" s="1"/>
  <c r="S25" i="2"/>
  <c r="X25" i="2"/>
  <c r="Z25" i="2"/>
  <c r="AA25" i="2" s="1"/>
  <c r="AD25" i="2"/>
  <c r="AE25" i="2" s="1"/>
  <c r="AF25" i="2"/>
  <c r="AN25" i="2"/>
  <c r="AO25" i="2"/>
  <c r="AP25" i="2"/>
  <c r="AQ25" i="2"/>
  <c r="AU25" i="2"/>
  <c r="F26" i="2"/>
  <c r="G26" i="2"/>
  <c r="AV26" i="2" s="1"/>
  <c r="H26" i="2"/>
  <c r="I26" i="2"/>
  <c r="L26" i="2"/>
  <c r="N26" i="2"/>
  <c r="O26" i="2" s="1"/>
  <c r="R26" i="2"/>
  <c r="S26" i="2"/>
  <c r="X26" i="2"/>
  <c r="Y26" i="2" s="1"/>
  <c r="Z26" i="2"/>
  <c r="AA26" i="2" s="1"/>
  <c r="AD26" i="2"/>
  <c r="AE26" i="2" s="1"/>
  <c r="AF26" i="2"/>
  <c r="AG26" i="2" s="1"/>
  <c r="AN26" i="2"/>
  <c r="AO26" i="2"/>
  <c r="AP26" i="2"/>
  <c r="AQ26" i="2"/>
  <c r="AS26" i="2"/>
  <c r="AU26" i="2"/>
  <c r="F27" i="2"/>
  <c r="G27" i="2"/>
  <c r="AU27" i="2" s="1"/>
  <c r="H27" i="2"/>
  <c r="I27" i="2"/>
  <c r="L27" i="2"/>
  <c r="N27" i="2"/>
  <c r="R27" i="2"/>
  <c r="S27" i="2"/>
  <c r="X27" i="2"/>
  <c r="Z27" i="2"/>
  <c r="AA27" i="2" s="1"/>
  <c r="AD27" i="2"/>
  <c r="AE27" i="2" s="1"/>
  <c r="AF27" i="2"/>
  <c r="AN27" i="2"/>
  <c r="AO27" i="2"/>
  <c r="AP27" i="2"/>
  <c r="AQ27" i="2"/>
  <c r="F28" i="2"/>
  <c r="AS28" i="2" s="1"/>
  <c r="G28" i="2"/>
  <c r="AU28" i="2" s="1"/>
  <c r="H28" i="2"/>
  <c r="I28" i="2"/>
  <c r="L28" i="2"/>
  <c r="N28" i="2"/>
  <c r="R28" i="2"/>
  <c r="S28" i="2"/>
  <c r="X28" i="2"/>
  <c r="Z28" i="2"/>
  <c r="AA28" i="2" s="1"/>
  <c r="AD28" i="2"/>
  <c r="AF28" i="2"/>
  <c r="AG28" i="2" s="1"/>
  <c r="AN28" i="2"/>
  <c r="AO28" i="2"/>
  <c r="AP28" i="2"/>
  <c r="AQ28" i="2"/>
  <c r="F29" i="2"/>
  <c r="AS29" i="2" s="1"/>
  <c r="G29" i="2"/>
  <c r="AV29" i="2" s="1"/>
  <c r="H29" i="2"/>
  <c r="I29" i="2"/>
  <c r="L29" i="2"/>
  <c r="N29" i="2"/>
  <c r="R29" i="2"/>
  <c r="S29" i="2"/>
  <c r="X29" i="2"/>
  <c r="Z29" i="2"/>
  <c r="AA29" i="2" s="1"/>
  <c r="AD29" i="2"/>
  <c r="AF29" i="2"/>
  <c r="AN29" i="2"/>
  <c r="AO29" i="2"/>
  <c r="AP29" i="2"/>
  <c r="AQ29" i="2"/>
  <c r="AU29" i="2"/>
  <c r="F30" i="2"/>
  <c r="G30" i="2"/>
  <c r="H30" i="2"/>
  <c r="I30" i="2"/>
  <c r="L30" i="2"/>
  <c r="N30" i="2"/>
  <c r="R30" i="2"/>
  <c r="S30" i="2"/>
  <c r="U30" i="2" s="1"/>
  <c r="X30" i="2"/>
  <c r="Z30" i="2"/>
  <c r="AA30" i="2" s="1"/>
  <c r="AD30" i="2"/>
  <c r="AE30" i="2" s="1"/>
  <c r="AF30" i="2"/>
  <c r="AN30" i="2"/>
  <c r="AO30" i="2"/>
  <c r="AP30" i="2"/>
  <c r="AQ30" i="2"/>
  <c r="AU30" i="2"/>
  <c r="F31" i="2"/>
  <c r="G31" i="2"/>
  <c r="AU31" i="2" s="1"/>
  <c r="H31" i="2"/>
  <c r="AX31" i="2" s="1"/>
  <c r="I31" i="2"/>
  <c r="L31" i="2"/>
  <c r="N31" i="2"/>
  <c r="P31" i="2" s="1"/>
  <c r="Q31" i="2" s="1"/>
  <c r="R31" i="2"/>
  <c r="S31" i="2"/>
  <c r="X31" i="2"/>
  <c r="Y31" i="2" s="1"/>
  <c r="Z31" i="2"/>
  <c r="AD31" i="2"/>
  <c r="AE31" i="2" s="1"/>
  <c r="AF31" i="2"/>
  <c r="AG31" i="2" s="1"/>
  <c r="AN31" i="2"/>
  <c r="AO31" i="2"/>
  <c r="AP31" i="2"/>
  <c r="AQ31" i="2"/>
  <c r="AR31" i="2"/>
  <c r="F32" i="2"/>
  <c r="AS32" i="2" s="1"/>
  <c r="G32" i="2"/>
  <c r="AU32" i="2" s="1"/>
  <c r="H32" i="2"/>
  <c r="I32" i="2"/>
  <c r="L32" i="2"/>
  <c r="N32" i="2"/>
  <c r="R32" i="2"/>
  <c r="S32" i="2"/>
  <c r="X32" i="2"/>
  <c r="Z32" i="2"/>
  <c r="AA32" i="2" s="1"/>
  <c r="AD32" i="2"/>
  <c r="AE32" i="2" s="1"/>
  <c r="AF32" i="2"/>
  <c r="AG32" i="2" s="1"/>
  <c r="AN32" i="2"/>
  <c r="AO32" i="2"/>
  <c r="AP32" i="2"/>
  <c r="AQ32" i="2"/>
  <c r="F33" i="2"/>
  <c r="AS33" i="2" s="1"/>
  <c r="G33" i="2"/>
  <c r="AU33" i="2" s="1"/>
  <c r="H33" i="2"/>
  <c r="I33" i="2"/>
  <c r="L33" i="2"/>
  <c r="N33" i="2"/>
  <c r="R33" i="2"/>
  <c r="S33" i="2"/>
  <c r="X33" i="2"/>
  <c r="Z33" i="2"/>
  <c r="AA33" i="2" s="1"/>
  <c r="AD33" i="2"/>
  <c r="AE33" i="2" s="1"/>
  <c r="AF33" i="2"/>
  <c r="AN33" i="2"/>
  <c r="AO33" i="2"/>
  <c r="AP33" i="2"/>
  <c r="AQ33" i="2"/>
  <c r="AQ2" i="2"/>
  <c r="AP2" i="2"/>
  <c r="AO2" i="2"/>
  <c r="AN2" i="2"/>
  <c r="AF2" i="2"/>
  <c r="AD2" i="2"/>
  <c r="Z2" i="2"/>
  <c r="X2" i="2"/>
  <c r="S2" i="2"/>
  <c r="R2" i="2"/>
  <c r="N2" i="2"/>
  <c r="L2" i="2"/>
  <c r="I2" i="2"/>
  <c r="H2" i="2"/>
  <c r="G2" i="2"/>
  <c r="F2" i="2"/>
  <c r="O3" i="1"/>
  <c r="O4" i="1"/>
  <c r="O5" i="1"/>
  <c r="O6" i="1"/>
  <c r="O7" i="1"/>
  <c r="O8" i="1"/>
  <c r="O9" i="1"/>
  <c r="O10" i="1"/>
  <c r="O11" i="1"/>
  <c r="O12" i="1"/>
  <c r="O13" i="1"/>
  <c r="O14" i="1"/>
  <c r="AM26" i="2" s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AL28" i="2" s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" i="1"/>
  <c r="P25" i="2" l="1"/>
  <c r="Q25" i="2" s="1"/>
  <c r="V13" i="2"/>
  <c r="AT13" i="2"/>
  <c r="J11" i="2"/>
  <c r="AT10" i="2"/>
  <c r="AC9" i="2"/>
  <c r="AT8" i="2"/>
  <c r="AT5" i="2"/>
  <c r="J5" i="2"/>
  <c r="V4" i="2"/>
  <c r="O32" i="2"/>
  <c r="AL31" i="2"/>
  <c r="AL30" i="2"/>
  <c r="AL32" i="2"/>
  <c r="AL2" i="2"/>
  <c r="AL29" i="2"/>
  <c r="AL26" i="2"/>
  <c r="AL23" i="2"/>
  <c r="AK32" i="2"/>
  <c r="AL20" i="2"/>
  <c r="AK22" i="2"/>
  <c r="AM21" i="2"/>
  <c r="AM28" i="2"/>
  <c r="AK27" i="2"/>
  <c r="AB2" i="2"/>
  <c r="AR33" i="2"/>
  <c r="U32" i="2"/>
  <c r="AG30" i="2"/>
  <c r="O30" i="2"/>
  <c r="AR28" i="2"/>
  <c r="T26" i="2"/>
  <c r="K26" i="2"/>
  <c r="AR25" i="2"/>
  <c r="AX23" i="2"/>
  <c r="AA22" i="2"/>
  <c r="U22" i="2"/>
  <c r="AX20" i="2"/>
  <c r="AY18" i="2"/>
  <c r="J17" i="2"/>
  <c r="AE16" i="2"/>
  <c r="K16" i="2"/>
  <c r="AA15" i="2"/>
  <c r="J14" i="2"/>
  <c r="AA13" i="2"/>
  <c r="U13" i="2"/>
  <c r="O13" i="2"/>
  <c r="J13" i="2"/>
  <c r="AZ13" i="2" s="1"/>
  <c r="K13" i="2"/>
  <c r="AY12" i="2"/>
  <c r="V11" i="2"/>
  <c r="AY10" i="2"/>
  <c r="AB9" i="2"/>
  <c r="AB7" i="2"/>
  <c r="AH4" i="2"/>
  <c r="AY3" i="2"/>
  <c r="J3" i="2"/>
  <c r="AL33" i="2"/>
  <c r="AJ2" i="2"/>
  <c r="AK2" i="2"/>
  <c r="AL27" i="2"/>
  <c r="AJ25" i="2"/>
  <c r="AK29" i="2"/>
  <c r="AM25" i="2"/>
  <c r="AK24" i="2"/>
  <c r="AK31" i="2"/>
  <c r="AT17" i="2"/>
  <c r="J8" i="2"/>
  <c r="V6" i="2"/>
  <c r="AI3" i="2"/>
  <c r="AC3" i="2"/>
  <c r="AJ22" i="2"/>
  <c r="AJ19" i="2"/>
  <c r="AK19" i="2"/>
  <c r="AJ33" i="2"/>
  <c r="Y28" i="2"/>
  <c r="O28" i="2"/>
  <c r="AS25" i="2"/>
  <c r="Y25" i="2"/>
  <c r="T25" i="2"/>
  <c r="AX25" i="2"/>
  <c r="O24" i="2"/>
  <c r="J24" i="2"/>
  <c r="AW22" i="2"/>
  <c r="O22" i="2"/>
  <c r="AY21" i="2"/>
  <c r="AS21" i="2"/>
  <c r="AT21" i="2" s="1"/>
  <c r="AE21" i="2"/>
  <c r="O21" i="2"/>
  <c r="J21" i="2"/>
  <c r="U20" i="2"/>
  <c r="K19" i="2"/>
  <c r="Y17" i="2"/>
  <c r="AW16" i="2"/>
  <c r="O15" i="2"/>
  <c r="AT14" i="2"/>
  <c r="AI13" i="2"/>
  <c r="Q13" i="2"/>
  <c r="AB12" i="2"/>
  <c r="K12" i="2"/>
  <c r="AI11" i="2"/>
  <c r="Y11" i="2"/>
  <c r="AC11" i="2" s="1"/>
  <c r="M11" i="2"/>
  <c r="AX11" i="2"/>
  <c r="AX10" i="2"/>
  <c r="AC10" i="2"/>
  <c r="V9" i="2"/>
  <c r="AX9" i="2"/>
  <c r="AG8" i="2"/>
  <c r="AI8" i="2" s="1"/>
  <c r="AC8" i="2"/>
  <c r="AH7" i="2"/>
  <c r="AY6" i="2"/>
  <c r="T6" i="2"/>
  <c r="O6" i="2"/>
  <c r="J6" i="2"/>
  <c r="AA5" i="2"/>
  <c r="U5" i="2"/>
  <c r="O5" i="2"/>
  <c r="K5" i="2"/>
  <c r="BA5" i="2" s="1"/>
  <c r="AX4" i="2"/>
  <c r="J4" i="2"/>
  <c r="V3" i="2"/>
  <c r="AU12" i="3"/>
  <c r="AJ28" i="2"/>
  <c r="AJ26" i="2"/>
  <c r="AK25" i="2"/>
  <c r="AY24" i="2"/>
  <c r="AT24" i="2"/>
  <c r="AM24" i="2"/>
  <c r="AR23" i="2"/>
  <c r="AT23" i="2" s="1"/>
  <c r="AA23" i="2"/>
  <c r="AB23" i="2"/>
  <c r="J23" i="2"/>
  <c r="AR20" i="2"/>
  <c r="AT20" i="2" s="1"/>
  <c r="AA20" i="2"/>
  <c r="AB20" i="2"/>
  <c r="J20" i="2"/>
  <c r="AM16" i="2"/>
  <c r="AK16" i="2"/>
  <c r="AK9" i="2"/>
  <c r="AM9" i="2"/>
  <c r="AI24" i="3"/>
  <c r="AG24" i="3"/>
  <c r="AJ17" i="3"/>
  <c r="AH17" i="3"/>
  <c r="AM11" i="2"/>
  <c r="AK11" i="2"/>
  <c r="AH7" i="3"/>
  <c r="AK4" i="2"/>
  <c r="AJ7" i="3"/>
  <c r="AM4" i="2"/>
  <c r="AI27" i="3"/>
  <c r="AG27" i="3"/>
  <c r="AH8" i="3"/>
  <c r="AK6" i="2"/>
  <c r="AJ8" i="3"/>
  <c r="AM6" i="2"/>
  <c r="AI23" i="3"/>
  <c r="AG23" i="3"/>
  <c r="AJ18" i="2"/>
  <c r="AL18" i="2"/>
  <c r="AG2" i="3"/>
  <c r="AH4" i="3"/>
  <c r="AI2" i="3"/>
  <c r="AJ4" i="3"/>
  <c r="AJ15" i="2"/>
  <c r="AL15" i="2"/>
  <c r="AI18" i="3"/>
  <c r="AG18" i="3"/>
  <c r="AJ9" i="3"/>
  <c r="AH9" i="3"/>
  <c r="AJ12" i="2"/>
  <c r="AL12" i="2"/>
  <c r="AL9" i="2"/>
  <c r="AJ9" i="2"/>
  <c r="AI8" i="3"/>
  <c r="AG8" i="3"/>
  <c r="AL6" i="2"/>
  <c r="AJ6" i="2"/>
  <c r="AI22" i="3"/>
  <c r="AG22" i="3"/>
  <c r="AJ3" i="2"/>
  <c r="AL3" i="2"/>
  <c r="AK30" i="2"/>
  <c r="AJ23" i="2"/>
  <c r="AE22" i="2"/>
  <c r="AH22" i="2"/>
  <c r="AK21" i="2"/>
  <c r="AJ20" i="2"/>
  <c r="AE19" i="2"/>
  <c r="AH19" i="2"/>
  <c r="Y19" i="2"/>
  <c r="AS19" i="2"/>
  <c r="AC13" i="2"/>
  <c r="AC12" i="2"/>
  <c r="BA11" i="2"/>
  <c r="AZ11" i="2"/>
  <c r="AM33" i="2"/>
  <c r="AI15" i="3"/>
  <c r="AG15" i="3"/>
  <c r="AJ20" i="3"/>
  <c r="AH20" i="3"/>
  <c r="AM17" i="2"/>
  <c r="AK17" i="2"/>
  <c r="AJ19" i="3"/>
  <c r="AH19" i="3"/>
  <c r="AK13" i="2"/>
  <c r="AM13" i="2"/>
  <c r="AG5" i="3"/>
  <c r="AI5" i="3"/>
  <c r="AG14" i="3"/>
  <c r="AI14" i="3"/>
  <c r="AM5" i="2"/>
  <c r="AK5" i="2"/>
  <c r="AJ18" i="3"/>
  <c r="AH18" i="3"/>
  <c r="AG10" i="3"/>
  <c r="AI10" i="3"/>
  <c r="AM12" i="2"/>
  <c r="AK12" i="2"/>
  <c r="AJ22" i="3"/>
  <c r="AH22" i="3"/>
  <c r="AM3" i="2"/>
  <c r="AK3" i="2"/>
  <c r="AK14" i="2"/>
  <c r="AM14" i="2"/>
  <c r="AI20" i="3"/>
  <c r="AG20" i="3"/>
  <c r="AH10" i="3"/>
  <c r="AJ10" i="3"/>
  <c r="AL17" i="2"/>
  <c r="AJ17" i="2"/>
  <c r="AL14" i="2"/>
  <c r="AJ14" i="2"/>
  <c r="AJ23" i="3"/>
  <c r="AH23" i="3"/>
  <c r="AI17" i="3"/>
  <c r="AG17" i="3"/>
  <c r="AL11" i="2"/>
  <c r="AM18" i="2"/>
  <c r="AJ11" i="2"/>
  <c r="AJ13" i="3"/>
  <c r="AJ8" i="2"/>
  <c r="AH13" i="3"/>
  <c r="AL8" i="2"/>
  <c r="AJ5" i="3"/>
  <c r="AL5" i="2"/>
  <c r="AJ5" i="2"/>
  <c r="AH5" i="3"/>
  <c r="AV27" i="2"/>
  <c r="AM27" i="2"/>
  <c r="AJ27" i="2"/>
  <c r="AJ24" i="3"/>
  <c r="AH24" i="3"/>
  <c r="AK23" i="2"/>
  <c r="AM8" i="2"/>
  <c r="AK8" i="2"/>
  <c r="AI25" i="3"/>
  <c r="AG25" i="3"/>
  <c r="AG13" i="3"/>
  <c r="AI13" i="3"/>
  <c r="AM7" i="2"/>
  <c r="AK7" i="2"/>
  <c r="AL24" i="2"/>
  <c r="AI4" i="3"/>
  <c r="AG4" i="3"/>
  <c r="AL22" i="2"/>
  <c r="AG9" i="3"/>
  <c r="AH12" i="3"/>
  <c r="AI9" i="3"/>
  <c r="AJ12" i="3"/>
  <c r="AK10" i="2"/>
  <c r="AM10" i="2"/>
  <c r="AL21" i="2"/>
  <c r="AJ2" i="3"/>
  <c r="AG3" i="3"/>
  <c r="AI3" i="3"/>
  <c r="AH2" i="3"/>
  <c r="AM15" i="2"/>
  <c r="AK15" i="2"/>
  <c r="AL19" i="2"/>
  <c r="AH27" i="3"/>
  <c r="AJ16" i="2"/>
  <c r="AL16" i="2"/>
  <c r="AK20" i="2"/>
  <c r="AJ25" i="3"/>
  <c r="AH25" i="3"/>
  <c r="AI19" i="3"/>
  <c r="AG19" i="3"/>
  <c r="AL13" i="2"/>
  <c r="AJ13" i="2"/>
  <c r="AJ15" i="3"/>
  <c r="AH15" i="3"/>
  <c r="AI12" i="3"/>
  <c r="AG12" i="3"/>
  <c r="AL10" i="2"/>
  <c r="AJ10" i="2"/>
  <c r="AH14" i="3"/>
  <c r="AJ14" i="3"/>
  <c r="AL7" i="2"/>
  <c r="AJ7" i="2"/>
  <c r="AH3" i="3"/>
  <c r="AG7" i="3"/>
  <c r="AJ3" i="3"/>
  <c r="AL4" i="2"/>
  <c r="AI7" i="3"/>
  <c r="AJ4" i="2"/>
  <c r="AK33" i="2"/>
  <c r="J33" i="2"/>
  <c r="AV32" i="2"/>
  <c r="AM32" i="2"/>
  <c r="AJ32" i="2"/>
  <c r="AM31" i="2"/>
  <c r="AJ31" i="2"/>
  <c r="AM30" i="2"/>
  <c r="AJ30" i="2"/>
  <c r="Y30" i="2"/>
  <c r="AM29" i="2"/>
  <c r="AJ29" i="2"/>
  <c r="T29" i="2"/>
  <c r="K29" i="2"/>
  <c r="AK28" i="2"/>
  <c r="M28" i="2"/>
  <c r="AG27" i="2"/>
  <c r="Y27" i="2"/>
  <c r="O27" i="2"/>
  <c r="AK26" i="2"/>
  <c r="U26" i="2"/>
  <c r="M26" i="2"/>
  <c r="AL25" i="2"/>
  <c r="AG25" i="2"/>
  <c r="U25" i="2"/>
  <c r="W25" i="2" s="1"/>
  <c r="O25" i="2"/>
  <c r="K25" i="2"/>
  <c r="AJ24" i="2"/>
  <c r="AA24" i="2"/>
  <c r="U24" i="2"/>
  <c r="M24" i="2"/>
  <c r="AM23" i="2"/>
  <c r="AM22" i="2"/>
  <c r="AB22" i="2"/>
  <c r="AJ21" i="2"/>
  <c r="AA21" i="2"/>
  <c r="U21" i="2"/>
  <c r="M21" i="2"/>
  <c r="AM20" i="2"/>
  <c r="AM19" i="2"/>
  <c r="AB19" i="2"/>
  <c r="AA19" i="2"/>
  <c r="AK18" i="2"/>
  <c r="AG23" i="2"/>
  <c r="M23" i="2"/>
  <c r="T22" i="2"/>
  <c r="M22" i="2"/>
  <c r="AW21" i="2"/>
  <c r="AG20" i="2"/>
  <c r="M20" i="2"/>
  <c r="T19" i="2"/>
  <c r="M19" i="2"/>
  <c r="AW18" i="2"/>
  <c r="AR18" i="2"/>
  <c r="AT18" i="2" s="1"/>
  <c r="K18" i="2"/>
  <c r="AG17" i="2"/>
  <c r="AB17" i="2"/>
  <c r="M17" i="2"/>
  <c r="AH16" i="2"/>
  <c r="T16" i="2"/>
  <c r="M16" i="2"/>
  <c r="AW15" i="2"/>
  <c r="AR15" i="2"/>
  <c r="AT15" i="2" s="1"/>
  <c r="U15" i="2"/>
  <c r="K15" i="2"/>
  <c r="AB14" i="2"/>
  <c r="AX14" i="2"/>
  <c r="AV13" i="2"/>
  <c r="AW13" i="2" s="1"/>
  <c r="T13" i="2"/>
  <c r="AX12" i="2"/>
  <c r="AR12" i="2"/>
  <c r="AT12" i="2" s="1"/>
  <c r="V12" i="2"/>
  <c r="P12" i="2"/>
  <c r="Q12" i="2" s="1"/>
  <c r="J12" i="2"/>
  <c r="AH11" i="2"/>
  <c r="AB11" i="2"/>
  <c r="K10" i="2"/>
  <c r="BA10" i="2" s="1"/>
  <c r="M9" i="2"/>
  <c r="P9" i="2"/>
  <c r="Q9" i="2" s="1"/>
  <c r="K8" i="2"/>
  <c r="BA8" i="2" s="1"/>
  <c r="T8" i="2"/>
  <c r="AV8" i="2"/>
  <c r="AW8" i="2" s="1"/>
  <c r="V7" i="2"/>
  <c r="T7" i="2"/>
  <c r="M7" i="2"/>
  <c r="P7" i="2"/>
  <c r="Q7" i="2" s="1"/>
  <c r="K7" i="2"/>
  <c r="AC5" i="2"/>
  <c r="AC4" i="2"/>
  <c r="AZ3" i="2"/>
  <c r="BA3" i="2"/>
  <c r="AX7" i="2"/>
  <c r="AY7" i="2"/>
  <c r="J7" i="2"/>
  <c r="AR7" i="2"/>
  <c r="AS7" i="2"/>
  <c r="Y18" i="2"/>
  <c r="M18" i="2"/>
  <c r="J18" i="2"/>
  <c r="AH17" i="2"/>
  <c r="AX17" i="2"/>
  <c r="AB16" i="2"/>
  <c r="AE15" i="2"/>
  <c r="Y15" i="2"/>
  <c r="M15" i="2"/>
  <c r="J15" i="2"/>
  <c r="AH13" i="2"/>
  <c r="AB13" i="2"/>
  <c r="AV12" i="2"/>
  <c r="AW12" i="2" s="1"/>
  <c r="AR11" i="2"/>
  <c r="AT11" i="2" s="1"/>
  <c r="P11" i="2"/>
  <c r="Q11" i="2" s="1"/>
  <c r="AH10" i="2"/>
  <c r="AB10" i="2"/>
  <c r="J9" i="2"/>
  <c r="AC7" i="2"/>
  <c r="AE6" i="2"/>
  <c r="AI6" i="2" s="1"/>
  <c r="AH6" i="2"/>
  <c r="Y6" i="2"/>
  <c r="AC6" i="2" s="1"/>
  <c r="AB6" i="2"/>
  <c r="AZ6" i="2"/>
  <c r="BA6" i="2"/>
  <c r="AZ4" i="2"/>
  <c r="BA4" i="2"/>
  <c r="AR9" i="2"/>
  <c r="AT9" i="2" s="1"/>
  <c r="AH8" i="2"/>
  <c r="AB8" i="2"/>
  <c r="AV7" i="2"/>
  <c r="AW7" i="2" s="1"/>
  <c r="AR6" i="2"/>
  <c r="AT6" i="2" s="1"/>
  <c r="P6" i="2"/>
  <c r="Q6" i="2" s="1"/>
  <c r="AH5" i="2"/>
  <c r="AB5" i="2"/>
  <c r="AY4" i="2"/>
  <c r="AV4" i="2"/>
  <c r="AW4" i="2" s="1"/>
  <c r="AS4" i="2"/>
  <c r="T4" i="2"/>
  <c r="AR3" i="2"/>
  <c r="AT3" i="2" s="1"/>
  <c r="P3" i="2"/>
  <c r="Q3" i="2" s="1"/>
  <c r="AV5" i="2"/>
  <c r="AW5" i="2" s="1"/>
  <c r="T5" i="2"/>
  <c r="AR4" i="2"/>
  <c r="P4" i="2"/>
  <c r="Q4" i="2" s="1"/>
  <c r="AH3" i="2"/>
  <c r="AB3" i="2"/>
  <c r="AI32" i="3"/>
  <c r="AG32" i="3"/>
  <c r="AI30" i="3"/>
  <c r="AG30" i="3"/>
  <c r="AJ38" i="3"/>
  <c r="AH38" i="3"/>
  <c r="AJ40" i="3"/>
  <c r="AH40" i="3"/>
  <c r="AJ33" i="3"/>
  <c r="AH33" i="3"/>
  <c r="AJ39" i="3"/>
  <c r="AH39" i="3"/>
  <c r="AJ32" i="3"/>
  <c r="AH32" i="3"/>
  <c r="AI29" i="3"/>
  <c r="AG29" i="3"/>
  <c r="AI35" i="3"/>
  <c r="AG35" i="3"/>
  <c r="AI28" i="3"/>
  <c r="AG28" i="3"/>
  <c r="AJ37" i="3"/>
  <c r="AH37" i="3"/>
  <c r="AJ34" i="3"/>
  <c r="AH34" i="3"/>
  <c r="AI40" i="3"/>
  <c r="AG40" i="3"/>
  <c r="AJ27" i="3"/>
  <c r="AI34" i="3"/>
  <c r="AG34" i="3"/>
  <c r="AJ28" i="3"/>
  <c r="AH28" i="3"/>
  <c r="AI39" i="3"/>
  <c r="AG39" i="3"/>
  <c r="AJ30" i="3"/>
  <c r="AH30" i="3"/>
  <c r="AI38" i="3"/>
  <c r="AG38" i="3"/>
  <c r="AI37" i="3"/>
  <c r="AG37" i="3"/>
  <c r="AJ29" i="3"/>
  <c r="AH29" i="3"/>
  <c r="AI33" i="3"/>
  <c r="AG33" i="3"/>
  <c r="AJ35" i="3"/>
  <c r="AH35" i="3"/>
  <c r="F36" i="2"/>
  <c r="F35" i="2"/>
  <c r="G36" i="2"/>
  <c r="G35" i="2"/>
  <c r="H36" i="2"/>
  <c r="H35" i="2"/>
  <c r="I36" i="2"/>
  <c r="I35" i="2"/>
  <c r="N36" i="2"/>
  <c r="N35" i="2"/>
  <c r="Z36" i="2"/>
  <c r="Z35" i="2"/>
  <c r="AF36" i="2"/>
  <c r="AF35" i="2"/>
  <c r="AM36" i="2"/>
  <c r="AM35" i="2"/>
  <c r="S36" i="2"/>
  <c r="S35" i="2"/>
  <c r="AW26" i="2"/>
  <c r="Y33" i="2"/>
  <c r="O33" i="2"/>
  <c r="U33" i="2"/>
  <c r="M33" i="2"/>
  <c r="K33" i="2"/>
  <c r="K32" i="2"/>
  <c r="M31" i="2"/>
  <c r="AG29" i="2"/>
  <c r="Y29" i="2"/>
  <c r="AE28" i="2"/>
  <c r="U28" i="2"/>
  <c r="J28" i="2"/>
  <c r="AB27" i="2"/>
  <c r="U27" i="2"/>
  <c r="M27" i="2"/>
  <c r="AX30" i="2"/>
  <c r="U29" i="2"/>
  <c r="W29" i="2" s="1"/>
  <c r="M29" i="2"/>
  <c r="AW29" i="2"/>
  <c r="AI32" i="2"/>
  <c r="J32" i="2"/>
  <c r="V28" i="2"/>
  <c r="AW27" i="2"/>
  <c r="AX27" i="2"/>
  <c r="AC33" i="2"/>
  <c r="V33" i="2"/>
  <c r="J31" i="2"/>
  <c r="AI30" i="2"/>
  <c r="AE29" i="2"/>
  <c r="AI29" i="2" s="1"/>
  <c r="O29" i="2"/>
  <c r="AX28" i="2"/>
  <c r="AT28" i="2"/>
  <c r="P28" i="2"/>
  <c r="Q28" i="2" s="1"/>
  <c r="AH27" i="2"/>
  <c r="AY26" i="2"/>
  <c r="AG33" i="2"/>
  <c r="AB33" i="2"/>
  <c r="Y32" i="2"/>
  <c r="AC32" i="2" s="1"/>
  <c r="T32" i="2"/>
  <c r="W32" i="2" s="1"/>
  <c r="M32" i="2"/>
  <c r="AW32" i="2"/>
  <c r="V31" i="2"/>
  <c r="AY31" i="2"/>
  <c r="AH30" i="2"/>
  <c r="M30" i="2"/>
  <c r="W26" i="2"/>
  <c r="W24" i="2"/>
  <c r="W22" i="2"/>
  <c r="W21" i="2"/>
  <c r="W19" i="2"/>
  <c r="W18" i="2"/>
  <c r="W16" i="2"/>
  <c r="W15" i="2"/>
  <c r="W13" i="2"/>
  <c r="AR2" i="2"/>
  <c r="AV2" i="2"/>
  <c r="AY2" i="2"/>
  <c r="L35" i="2"/>
  <c r="L36" i="2"/>
  <c r="V2" i="2"/>
  <c r="R35" i="2"/>
  <c r="R36" i="2"/>
  <c r="X35" i="2"/>
  <c r="X36" i="2"/>
  <c r="AD35" i="2"/>
  <c r="AD36" i="2"/>
  <c r="AJ35" i="2"/>
  <c r="AL35" i="2"/>
  <c r="AL36" i="2"/>
  <c r="AN35" i="2"/>
  <c r="AN36" i="2"/>
  <c r="AO35" i="2"/>
  <c r="AP35" i="2"/>
  <c r="AP36" i="2"/>
  <c r="AQ35" i="2"/>
  <c r="AQ36" i="2"/>
  <c r="W12" i="2"/>
  <c r="W11" i="2"/>
  <c r="W10" i="2"/>
  <c r="W9" i="2"/>
  <c r="W8" i="2"/>
  <c r="W7" i="2"/>
  <c r="W6" i="2"/>
  <c r="W5" i="2"/>
  <c r="W4" i="2"/>
  <c r="W3" i="2"/>
  <c r="AS2" i="2"/>
  <c r="AX2" i="2"/>
  <c r="AU2" i="2"/>
  <c r="AY29" i="2"/>
  <c r="V29" i="2"/>
  <c r="AH33" i="2"/>
  <c r="AX33" i="2"/>
  <c r="AT33" i="2"/>
  <c r="AB32" i="2"/>
  <c r="AY32" i="2"/>
  <c r="AS31" i="2"/>
  <c r="AA31" i="2"/>
  <c r="AC31" i="2" s="1"/>
  <c r="U31" i="2"/>
  <c r="O31" i="2"/>
  <c r="K31" i="2"/>
  <c r="BA31" i="2" s="1"/>
  <c r="AB30" i="2"/>
  <c r="V30" i="2"/>
  <c r="K30" i="2"/>
  <c r="J29" i="2"/>
  <c r="AI28" i="2"/>
  <c r="AH32" i="2"/>
  <c r="AT31" i="2"/>
  <c r="J30" i="2"/>
  <c r="AC29" i="2"/>
  <c r="AX29" i="2"/>
  <c r="AY28" i="2"/>
  <c r="K28" i="2"/>
  <c r="BA28" i="2" s="1"/>
  <c r="AI27" i="2"/>
  <c r="V27" i="2"/>
  <c r="K27" i="2"/>
  <c r="J27" i="2"/>
  <c r="AI26" i="2"/>
  <c r="AC26" i="2"/>
  <c r="V26" i="2"/>
  <c r="AX26" i="2"/>
  <c r="J26" i="2"/>
  <c r="AW25" i="2"/>
  <c r="AT25" i="2"/>
  <c r="AC25" i="2"/>
  <c r="J25" i="2"/>
  <c r="V24" i="2"/>
  <c r="AC23" i="2"/>
  <c r="V23" i="2"/>
  <c r="K23" i="2"/>
  <c r="AI22" i="2"/>
  <c r="AC22" i="2"/>
  <c r="AX22" i="2"/>
  <c r="J22" i="2"/>
  <c r="AI21" i="2"/>
  <c r="AC21" i="2"/>
  <c r="V21" i="2"/>
  <c r="AC20" i="2"/>
  <c r="V20" i="2"/>
  <c r="K20" i="2"/>
  <c r="AI19" i="2"/>
  <c r="AC19" i="2"/>
  <c r="AX19" i="2"/>
  <c r="J19" i="2"/>
  <c r="AI18" i="2"/>
  <c r="AC18" i="2"/>
  <c r="V18" i="2"/>
  <c r="AC17" i="2"/>
  <c r="V17" i="2"/>
  <c r="K17" i="2"/>
  <c r="AI16" i="2"/>
  <c r="AC16" i="2"/>
  <c r="AX16" i="2"/>
  <c r="J16" i="2"/>
  <c r="AI15" i="2"/>
  <c r="AC15" i="2"/>
  <c r="V15" i="2"/>
  <c r="AI14" i="2"/>
  <c r="AC14" i="2"/>
  <c r="V14" i="2"/>
  <c r="G3" i="9"/>
  <c r="F3" i="9"/>
  <c r="I5" i="3"/>
  <c r="AU8" i="3"/>
  <c r="Y8" i="3"/>
  <c r="N10" i="3"/>
  <c r="AE10" i="3"/>
  <c r="N3" i="3"/>
  <c r="O3" i="3" s="1"/>
  <c r="AU4" i="3"/>
  <c r="AD8" i="3"/>
  <c r="V7" i="3"/>
  <c r="T8" i="3"/>
  <c r="M8" i="3"/>
  <c r="T2" i="3"/>
  <c r="AV2" i="3"/>
  <c r="N2" i="3"/>
  <c r="O2" i="3" s="1"/>
  <c r="AD2" i="3"/>
  <c r="H3" i="3"/>
  <c r="Y3" i="3"/>
  <c r="N4" i="3"/>
  <c r="AE4" i="3"/>
  <c r="AD5" i="3"/>
  <c r="M12" i="3"/>
  <c r="T12" i="3"/>
  <c r="Y14" i="3"/>
  <c r="N15" i="3"/>
  <c r="O15" i="3" s="1"/>
  <c r="T15" i="3"/>
  <c r="AD17" i="3"/>
  <c r="T18" i="3"/>
  <c r="T19" i="3"/>
  <c r="AD19" i="3"/>
  <c r="T22" i="3"/>
  <c r="T23" i="3"/>
  <c r="AS5" i="3"/>
  <c r="AT5" i="3" s="1"/>
  <c r="AV7" i="3"/>
  <c r="N7" i="3"/>
  <c r="O7" i="3" s="1"/>
  <c r="T9" i="3"/>
  <c r="AE9" i="3"/>
  <c r="AV10" i="3"/>
  <c r="M10" i="3"/>
  <c r="X12" i="3"/>
  <c r="N13" i="3"/>
  <c r="O13" i="3" s="1"/>
  <c r="T13" i="3"/>
  <c r="AE13" i="3"/>
  <c r="AV14" i="3"/>
  <c r="AU18" i="3"/>
  <c r="Y18" i="3"/>
  <c r="AD18" i="3"/>
  <c r="AE20" i="3"/>
  <c r="AU22" i="3"/>
  <c r="N24" i="3"/>
  <c r="AU25" i="3"/>
  <c r="AV3" i="3"/>
  <c r="X4" i="3"/>
  <c r="AE5" i="3"/>
  <c r="AE8" i="3"/>
  <c r="AV9" i="3"/>
  <c r="Y9" i="3"/>
  <c r="N12" i="3"/>
  <c r="O12" i="3" s="1"/>
  <c r="AE12" i="3"/>
  <c r="AV13" i="3"/>
  <c r="M13" i="3"/>
  <c r="AV17" i="3"/>
  <c r="Y17" i="3"/>
  <c r="AE19" i="3"/>
  <c r="AV20" i="3"/>
  <c r="Y20" i="3"/>
  <c r="AD20" i="3"/>
  <c r="AE23" i="3"/>
  <c r="AV24" i="3"/>
  <c r="R3" i="3"/>
  <c r="O4" i="3"/>
  <c r="S7" i="3"/>
  <c r="O10" i="3"/>
  <c r="S10" i="3"/>
  <c r="X13" i="3"/>
  <c r="O14" i="3"/>
  <c r="S14" i="3"/>
  <c r="O22" i="3"/>
  <c r="T4" i="3"/>
  <c r="R2" i="3"/>
  <c r="X2" i="3"/>
  <c r="AE3" i="3"/>
  <c r="Y4" i="3"/>
  <c r="AD4" i="3"/>
  <c r="AO4" i="3"/>
  <c r="AQ4" i="3" s="1"/>
  <c r="AV5" i="3"/>
  <c r="N5" i="3"/>
  <c r="O5" i="3" s="1"/>
  <c r="Y5" i="3"/>
  <c r="AB7" i="3"/>
  <c r="R7" i="3"/>
  <c r="Y7" i="3"/>
  <c r="X8" i="3"/>
  <c r="I9" i="3"/>
  <c r="X10" i="3"/>
  <c r="R14" i="3"/>
  <c r="AE15" i="3"/>
  <c r="M17" i="3"/>
  <c r="S17" i="3"/>
  <c r="AE17" i="3"/>
  <c r="M18" i="3"/>
  <c r="M19" i="3"/>
  <c r="M20" i="3"/>
  <c r="S20" i="3"/>
  <c r="M22" i="3"/>
  <c r="N23" i="3"/>
  <c r="O23" i="3" s="1"/>
  <c r="N17" i="3"/>
  <c r="O17" i="3" s="1"/>
  <c r="N18" i="3"/>
  <c r="O18" i="3" s="1"/>
  <c r="N19" i="3"/>
  <c r="O19" i="3" s="1"/>
  <c r="N20" i="3"/>
  <c r="O20" i="3" s="1"/>
  <c r="Y22" i="3"/>
  <c r="AD22" i="3"/>
  <c r="I23" i="3"/>
  <c r="M4" i="3"/>
  <c r="T5" i="3"/>
  <c r="AE7" i="3"/>
  <c r="N8" i="3"/>
  <c r="O8" i="3" s="1"/>
  <c r="AO8" i="3"/>
  <c r="AQ8" i="3" s="1"/>
  <c r="N9" i="3"/>
  <c r="O9" i="3" s="1"/>
  <c r="Y10" i="3"/>
  <c r="AD10" i="3"/>
  <c r="Y12" i="3"/>
  <c r="AD12" i="3"/>
  <c r="Y13" i="3"/>
  <c r="AD13" i="3"/>
  <c r="I15" i="3"/>
  <c r="X17" i="3"/>
  <c r="X18" i="3"/>
  <c r="X19" i="3"/>
  <c r="X20" i="3"/>
  <c r="X22" i="3"/>
  <c r="O24" i="3"/>
  <c r="R24" i="3"/>
  <c r="S24" i="3"/>
  <c r="Y24" i="3"/>
  <c r="AE24" i="3"/>
  <c r="O25" i="3"/>
  <c r="M25" i="3"/>
  <c r="T25" i="3"/>
  <c r="X25" i="3"/>
  <c r="AD25" i="3"/>
  <c r="M2" i="3"/>
  <c r="S2" i="3"/>
  <c r="V2" i="3"/>
  <c r="Y2" i="3"/>
  <c r="AB2" i="3"/>
  <c r="AE2" i="3"/>
  <c r="AB3" i="3"/>
  <c r="AS3" i="3"/>
  <c r="I3" i="3"/>
  <c r="AW3" i="3" s="1"/>
  <c r="AR3" i="3"/>
  <c r="AX3" i="3"/>
  <c r="H2" i="3"/>
  <c r="K2" i="3"/>
  <c r="AO2" i="3"/>
  <c r="AQ2" i="3" s="1"/>
  <c r="AR2" i="3"/>
  <c r="AT2" i="3" s="1"/>
  <c r="AU2" i="3"/>
  <c r="I2" i="3"/>
  <c r="V3" i="3"/>
  <c r="M3" i="3"/>
  <c r="AP3" i="3"/>
  <c r="AO3" i="3"/>
  <c r="K3" i="3"/>
  <c r="S3" i="3"/>
  <c r="T3" i="3"/>
  <c r="AU3" i="3"/>
  <c r="I4" i="3"/>
  <c r="R4" i="3"/>
  <c r="AS4" i="3"/>
  <c r="AT4" i="3" s="1"/>
  <c r="AV4" i="3"/>
  <c r="M5" i="3"/>
  <c r="S5" i="3"/>
  <c r="V5" i="3"/>
  <c r="AB5" i="3"/>
  <c r="AF5" i="3" s="1"/>
  <c r="H7" i="3"/>
  <c r="K7" i="3"/>
  <c r="T7" i="3"/>
  <c r="AO7" i="3"/>
  <c r="AR7" i="3"/>
  <c r="AU7" i="3"/>
  <c r="I8" i="3"/>
  <c r="R8" i="3"/>
  <c r="AS8" i="3"/>
  <c r="AT8" i="3" s="1"/>
  <c r="AV8" i="3"/>
  <c r="M9" i="3"/>
  <c r="S9" i="3"/>
  <c r="V9" i="3"/>
  <c r="AB9" i="3"/>
  <c r="H10" i="3"/>
  <c r="K10" i="3"/>
  <c r="T10" i="3"/>
  <c r="AO10" i="3"/>
  <c r="AQ10" i="3" s="1"/>
  <c r="AR10" i="3"/>
  <c r="AT10" i="3" s="1"/>
  <c r="AU10" i="3"/>
  <c r="I12" i="3"/>
  <c r="R12" i="3"/>
  <c r="AP12" i="3"/>
  <c r="AQ12" i="3" s="1"/>
  <c r="AS12" i="3"/>
  <c r="AT12" i="3" s="1"/>
  <c r="AV12" i="3"/>
  <c r="S13" i="3"/>
  <c r="V13" i="3"/>
  <c r="Z13" i="3" s="1"/>
  <c r="AB13" i="3"/>
  <c r="AF13" i="3" s="1"/>
  <c r="H14" i="3"/>
  <c r="K14" i="3"/>
  <c r="T14" i="3"/>
  <c r="AD14" i="3"/>
  <c r="AU14" i="3"/>
  <c r="X3" i="3"/>
  <c r="AD3" i="3"/>
  <c r="S4" i="3"/>
  <c r="V4" i="3"/>
  <c r="AB4" i="3"/>
  <c r="H5" i="3"/>
  <c r="K5" i="3"/>
  <c r="AO5" i="3"/>
  <c r="AQ5" i="3" s="1"/>
  <c r="AU5" i="3"/>
  <c r="I7" i="3"/>
  <c r="X7" i="3"/>
  <c r="AD7" i="3"/>
  <c r="AP7" i="3"/>
  <c r="AS7" i="3"/>
  <c r="S8" i="3"/>
  <c r="V8" i="3"/>
  <c r="AB8" i="3"/>
  <c r="AF8" i="3" s="1"/>
  <c r="H9" i="3"/>
  <c r="K9" i="3"/>
  <c r="AO9" i="3"/>
  <c r="AQ9" i="3" s="1"/>
  <c r="AR9" i="3"/>
  <c r="AT9" i="3" s="1"/>
  <c r="AU9" i="3"/>
  <c r="I10" i="3"/>
  <c r="R10" i="3"/>
  <c r="S12" i="3"/>
  <c r="V12" i="3"/>
  <c r="AB12" i="3"/>
  <c r="AF12" i="3" s="1"/>
  <c r="H13" i="3"/>
  <c r="K13" i="3"/>
  <c r="AO13" i="3"/>
  <c r="AQ13" i="3" s="1"/>
  <c r="AR13" i="3"/>
  <c r="AT13" i="3" s="1"/>
  <c r="AU13" i="3"/>
  <c r="I14" i="3"/>
  <c r="X14" i="3"/>
  <c r="AE14" i="3"/>
  <c r="AB14" i="3"/>
  <c r="AO14" i="3"/>
  <c r="AQ14" i="3" s="1"/>
  <c r="H4" i="3"/>
  <c r="K4" i="3"/>
  <c r="R5" i="3"/>
  <c r="X5" i="3"/>
  <c r="M7" i="3"/>
  <c r="H8" i="3"/>
  <c r="K8" i="3"/>
  <c r="R9" i="3"/>
  <c r="X9" i="3"/>
  <c r="AD9" i="3"/>
  <c r="V10" i="3"/>
  <c r="Z10" i="3" s="1"/>
  <c r="AB10" i="3"/>
  <c r="H12" i="3"/>
  <c r="K12" i="3"/>
  <c r="I13" i="3"/>
  <c r="R13" i="3"/>
  <c r="M14" i="3"/>
  <c r="V14" i="3"/>
  <c r="Z14" i="3" s="1"/>
  <c r="AR14" i="3"/>
  <c r="AT14" i="3" s="1"/>
  <c r="M15" i="3"/>
  <c r="S15" i="3"/>
  <c r="V15" i="3"/>
  <c r="AB15" i="3"/>
  <c r="H17" i="3"/>
  <c r="K17" i="3"/>
  <c r="T17" i="3"/>
  <c r="AO17" i="3"/>
  <c r="AQ17" i="3" s="1"/>
  <c r="AR17" i="3"/>
  <c r="AT17" i="3" s="1"/>
  <c r="AU17" i="3"/>
  <c r="I18" i="3"/>
  <c r="R18" i="3"/>
  <c r="AP18" i="3"/>
  <c r="AQ18" i="3" s="1"/>
  <c r="AS18" i="3"/>
  <c r="AT18" i="3" s="1"/>
  <c r="AV18" i="3"/>
  <c r="S19" i="3"/>
  <c r="V19" i="3"/>
  <c r="AB19" i="3"/>
  <c r="AF19" i="3" s="1"/>
  <c r="H20" i="3"/>
  <c r="K20" i="3"/>
  <c r="T20" i="3"/>
  <c r="AO20" i="3"/>
  <c r="AQ20" i="3" s="1"/>
  <c r="AR20" i="3"/>
  <c r="AT20" i="3" s="1"/>
  <c r="AU20" i="3"/>
  <c r="I22" i="3"/>
  <c r="R22" i="3"/>
  <c r="AP22" i="3"/>
  <c r="AQ22" i="3" s="1"/>
  <c r="AS22" i="3"/>
  <c r="AT22" i="3" s="1"/>
  <c r="AV22" i="3"/>
  <c r="M23" i="3"/>
  <c r="S23" i="3"/>
  <c r="V23" i="3"/>
  <c r="AB23" i="3"/>
  <c r="H24" i="3"/>
  <c r="K24" i="3"/>
  <c r="T24" i="3"/>
  <c r="AO24" i="3"/>
  <c r="AR24" i="3"/>
  <c r="AU24" i="3"/>
  <c r="I25" i="3"/>
  <c r="R25" i="3"/>
  <c r="AP25" i="3"/>
  <c r="AQ25" i="3" s="1"/>
  <c r="AS25" i="3"/>
  <c r="AT25" i="3" s="1"/>
  <c r="AV25" i="3"/>
  <c r="AP27" i="3"/>
  <c r="AO27" i="3"/>
  <c r="H27" i="3"/>
  <c r="H15" i="3"/>
  <c r="K15" i="3"/>
  <c r="AO15" i="3"/>
  <c r="AQ15" i="3" s="1"/>
  <c r="AR15" i="3"/>
  <c r="AT15" i="3" s="1"/>
  <c r="AU15" i="3"/>
  <c r="I17" i="3"/>
  <c r="R17" i="3"/>
  <c r="S18" i="3"/>
  <c r="V18" i="3"/>
  <c r="AB18" i="3"/>
  <c r="AF18" i="3" s="1"/>
  <c r="H19" i="3"/>
  <c r="K19" i="3"/>
  <c r="AO19" i="3"/>
  <c r="AQ19" i="3" s="1"/>
  <c r="AR19" i="3"/>
  <c r="AT19" i="3" s="1"/>
  <c r="AU19" i="3"/>
  <c r="I20" i="3"/>
  <c r="R20" i="3"/>
  <c r="S22" i="3"/>
  <c r="V22" i="3"/>
  <c r="Z22" i="3" s="1"/>
  <c r="AB22" i="3"/>
  <c r="AF22" i="3" s="1"/>
  <c r="H23" i="3"/>
  <c r="K23" i="3"/>
  <c r="AO23" i="3"/>
  <c r="AQ23" i="3" s="1"/>
  <c r="AR23" i="3"/>
  <c r="AT23" i="3" s="1"/>
  <c r="AU23" i="3"/>
  <c r="I24" i="3"/>
  <c r="X24" i="3"/>
  <c r="Z24" i="3" s="1"/>
  <c r="AD24" i="3"/>
  <c r="AF24" i="3" s="1"/>
  <c r="AP24" i="3"/>
  <c r="AS24" i="3"/>
  <c r="S25" i="3"/>
  <c r="V25" i="3"/>
  <c r="Z25" i="3" s="1"/>
  <c r="AB25" i="3"/>
  <c r="AF25" i="3" s="1"/>
  <c r="AS27" i="3"/>
  <c r="AR27" i="3"/>
  <c r="I27" i="3"/>
  <c r="R15" i="3"/>
  <c r="X15" i="3"/>
  <c r="AD15" i="3"/>
  <c r="V17" i="3"/>
  <c r="Z17" i="3" s="1"/>
  <c r="AB17" i="3"/>
  <c r="AF17" i="3" s="1"/>
  <c r="H18" i="3"/>
  <c r="K18" i="3"/>
  <c r="I19" i="3"/>
  <c r="R19" i="3"/>
  <c r="V20" i="3"/>
  <c r="Z20" i="3" s="1"/>
  <c r="AB20" i="3"/>
  <c r="AF20" i="3" s="1"/>
  <c r="H22" i="3"/>
  <c r="K22" i="3"/>
  <c r="R23" i="3"/>
  <c r="X23" i="3"/>
  <c r="AD23" i="3"/>
  <c r="M24" i="3"/>
  <c r="H25" i="3"/>
  <c r="K25" i="3"/>
  <c r="AV27" i="3"/>
  <c r="AU27" i="3"/>
  <c r="N27" i="3"/>
  <c r="O27" i="3" s="1"/>
  <c r="K27" i="3"/>
  <c r="M27" i="3"/>
  <c r="T27" i="3"/>
  <c r="R27" i="3"/>
  <c r="S27" i="3"/>
  <c r="Y27" i="3"/>
  <c r="V27" i="3"/>
  <c r="X27" i="3"/>
  <c r="AE27" i="3"/>
  <c r="AB27" i="3"/>
  <c r="AD27" i="3"/>
  <c r="AP28" i="3"/>
  <c r="AO28" i="3"/>
  <c r="H28" i="3"/>
  <c r="AS28" i="3"/>
  <c r="AR28" i="3"/>
  <c r="I28" i="3"/>
  <c r="AV28" i="3"/>
  <c r="AU28" i="3"/>
  <c r="N28" i="3"/>
  <c r="O28" i="3" s="1"/>
  <c r="K28" i="3"/>
  <c r="M28" i="3"/>
  <c r="T28" i="3"/>
  <c r="R28" i="3"/>
  <c r="S28" i="3"/>
  <c r="Y28" i="3"/>
  <c r="V28" i="3"/>
  <c r="X28" i="3"/>
  <c r="AE28" i="3"/>
  <c r="AB28" i="3"/>
  <c r="AD28" i="3"/>
  <c r="AP29" i="3"/>
  <c r="AO29" i="3"/>
  <c r="H29" i="3"/>
  <c r="AS29" i="3"/>
  <c r="AR29" i="3"/>
  <c r="I29" i="3"/>
  <c r="AV29" i="3"/>
  <c r="AU29" i="3"/>
  <c r="N29" i="3"/>
  <c r="O29" i="3" s="1"/>
  <c r="K29" i="3"/>
  <c r="M29" i="3"/>
  <c r="T29" i="3"/>
  <c r="R29" i="3"/>
  <c r="S29" i="3"/>
  <c r="Y29" i="3"/>
  <c r="V29" i="3"/>
  <c r="X29" i="3"/>
  <c r="AE29" i="3"/>
  <c r="AB29" i="3"/>
  <c r="AD29" i="3"/>
  <c r="AP30" i="3"/>
  <c r="AO30" i="3"/>
  <c r="H30" i="3"/>
  <c r="AS30" i="3"/>
  <c r="AR30" i="3"/>
  <c r="I30" i="3"/>
  <c r="AV30" i="3"/>
  <c r="AU30" i="3"/>
  <c r="N30" i="3"/>
  <c r="O30" i="3" s="1"/>
  <c r="K30" i="3"/>
  <c r="M30" i="3"/>
  <c r="T30" i="3"/>
  <c r="R30" i="3"/>
  <c r="S30" i="3"/>
  <c r="Y30" i="3"/>
  <c r="V30" i="3"/>
  <c r="X30" i="3"/>
  <c r="AE30" i="3"/>
  <c r="AB30" i="3"/>
  <c r="AD30" i="3"/>
  <c r="AP32" i="3"/>
  <c r="AO32" i="3"/>
  <c r="H32" i="3"/>
  <c r="AS32" i="3"/>
  <c r="AR32" i="3"/>
  <c r="I32" i="3"/>
  <c r="AV32" i="3"/>
  <c r="AU32" i="3"/>
  <c r="N32" i="3"/>
  <c r="O32" i="3" s="1"/>
  <c r="K32" i="3"/>
  <c r="M32" i="3"/>
  <c r="T32" i="3"/>
  <c r="R32" i="3"/>
  <c r="S32" i="3"/>
  <c r="Y32" i="3"/>
  <c r="V32" i="3"/>
  <c r="X32" i="3"/>
  <c r="AE32" i="3"/>
  <c r="AB32" i="3"/>
  <c r="AD32" i="3"/>
  <c r="AP33" i="3"/>
  <c r="AO33" i="3"/>
  <c r="H33" i="3"/>
  <c r="AS33" i="3"/>
  <c r="AR33" i="3"/>
  <c r="I33" i="3"/>
  <c r="AV33" i="3"/>
  <c r="AU33" i="3"/>
  <c r="N33" i="3"/>
  <c r="O33" i="3" s="1"/>
  <c r="K33" i="3"/>
  <c r="M33" i="3"/>
  <c r="T33" i="3"/>
  <c r="R33" i="3"/>
  <c r="S33" i="3"/>
  <c r="Y33" i="3"/>
  <c r="V33" i="3"/>
  <c r="X33" i="3"/>
  <c r="AE33" i="3"/>
  <c r="AB33" i="3"/>
  <c r="AD33" i="3"/>
  <c r="AP34" i="3"/>
  <c r="AO34" i="3"/>
  <c r="H34" i="3"/>
  <c r="AS34" i="3"/>
  <c r="AR34" i="3"/>
  <c r="I34" i="3"/>
  <c r="AV34" i="3"/>
  <c r="AU34" i="3"/>
  <c r="N34" i="3"/>
  <c r="O34" i="3" s="1"/>
  <c r="K34" i="3"/>
  <c r="M34" i="3"/>
  <c r="T34" i="3"/>
  <c r="R34" i="3"/>
  <c r="S34" i="3"/>
  <c r="Y34" i="3"/>
  <c r="V34" i="3"/>
  <c r="X34" i="3"/>
  <c r="AE34" i="3"/>
  <c r="AB34" i="3"/>
  <c r="AD34" i="3"/>
  <c r="AP35" i="3"/>
  <c r="AO35" i="3"/>
  <c r="H35" i="3"/>
  <c r="AS35" i="3"/>
  <c r="AR35" i="3"/>
  <c r="I35" i="3"/>
  <c r="AV35" i="3"/>
  <c r="AU35" i="3"/>
  <c r="N35" i="3"/>
  <c r="O35" i="3" s="1"/>
  <c r="K35" i="3"/>
  <c r="M35" i="3"/>
  <c r="T35" i="3"/>
  <c r="R35" i="3"/>
  <c r="S35" i="3"/>
  <c r="Y35" i="3"/>
  <c r="V35" i="3"/>
  <c r="X35" i="3"/>
  <c r="AE35" i="3"/>
  <c r="AB35" i="3"/>
  <c r="AD35" i="3"/>
  <c r="AP37" i="3"/>
  <c r="AO37" i="3"/>
  <c r="H37" i="3"/>
  <c r="AS37" i="3"/>
  <c r="AR37" i="3"/>
  <c r="I37" i="3"/>
  <c r="AV37" i="3"/>
  <c r="AU37" i="3"/>
  <c r="N37" i="3"/>
  <c r="O37" i="3" s="1"/>
  <c r="K37" i="3"/>
  <c r="M37" i="3"/>
  <c r="T37" i="3"/>
  <c r="R37" i="3"/>
  <c r="S37" i="3"/>
  <c r="Y37" i="3"/>
  <c r="V37" i="3"/>
  <c r="X37" i="3"/>
  <c r="AE37" i="3"/>
  <c r="AB37" i="3"/>
  <c r="AD37" i="3"/>
  <c r="AP38" i="3"/>
  <c r="AO38" i="3"/>
  <c r="H38" i="3"/>
  <c r="AS38" i="3"/>
  <c r="AR38" i="3"/>
  <c r="I38" i="3"/>
  <c r="AV38" i="3"/>
  <c r="AU38" i="3"/>
  <c r="N38" i="3"/>
  <c r="O38" i="3" s="1"/>
  <c r="K38" i="3"/>
  <c r="M38" i="3"/>
  <c r="T38" i="3"/>
  <c r="R38" i="3"/>
  <c r="S38" i="3"/>
  <c r="Y38" i="3"/>
  <c r="V38" i="3"/>
  <c r="X38" i="3"/>
  <c r="AE38" i="3"/>
  <c r="AB38" i="3"/>
  <c r="AD38" i="3"/>
  <c r="AP39" i="3"/>
  <c r="AO39" i="3"/>
  <c r="H39" i="3"/>
  <c r="AS39" i="3"/>
  <c r="AR39" i="3"/>
  <c r="I39" i="3"/>
  <c r="AV39" i="3"/>
  <c r="AU39" i="3"/>
  <c r="N39" i="3"/>
  <c r="O39" i="3" s="1"/>
  <c r="K39" i="3"/>
  <c r="M39" i="3"/>
  <c r="T39" i="3"/>
  <c r="R39" i="3"/>
  <c r="S39" i="3"/>
  <c r="Y39" i="3"/>
  <c r="V39" i="3"/>
  <c r="X39" i="3"/>
  <c r="AE39" i="3"/>
  <c r="AB39" i="3"/>
  <c r="AD39" i="3"/>
  <c r="AP40" i="3"/>
  <c r="AO40" i="3"/>
  <c r="H40" i="3"/>
  <c r="AS40" i="3"/>
  <c r="AR40" i="3"/>
  <c r="I40" i="3"/>
  <c r="AV40" i="3"/>
  <c r="AU40" i="3"/>
  <c r="N40" i="3"/>
  <c r="O40" i="3" s="1"/>
  <c r="K40" i="3"/>
  <c r="M40" i="3"/>
  <c r="T40" i="3"/>
  <c r="R40" i="3"/>
  <c r="S40" i="3"/>
  <c r="Y40" i="3"/>
  <c r="V40" i="3"/>
  <c r="X40" i="3"/>
  <c r="AE40" i="3"/>
  <c r="AB40" i="3"/>
  <c r="AD40" i="3"/>
  <c r="AZ30" i="2"/>
  <c r="BA30" i="2"/>
  <c r="AZ27" i="2"/>
  <c r="BA27" i="2"/>
  <c r="AI33" i="2"/>
  <c r="BA33" i="2"/>
  <c r="AZ33" i="2"/>
  <c r="AZ32" i="2"/>
  <c r="BA32" i="2"/>
  <c r="AI31" i="2"/>
  <c r="AC30" i="2"/>
  <c r="AC28" i="2"/>
  <c r="AC27" i="2"/>
  <c r="BA25" i="2"/>
  <c r="AZ25" i="2"/>
  <c r="AZ29" i="2"/>
  <c r="BA29" i="2"/>
  <c r="AZ26" i="2"/>
  <c r="BA26" i="2"/>
  <c r="AI25" i="2"/>
  <c r="AY33" i="2"/>
  <c r="AV33" i="2"/>
  <c r="AW33" i="2" s="1"/>
  <c r="T33" i="2"/>
  <c r="W33" i="2" s="1"/>
  <c r="AX32" i="2"/>
  <c r="AR32" i="2"/>
  <c r="AT32" i="2" s="1"/>
  <c r="V32" i="2"/>
  <c r="P32" i="2"/>
  <c r="Q32" i="2" s="1"/>
  <c r="AH31" i="2"/>
  <c r="AB31" i="2"/>
  <c r="AY30" i="2"/>
  <c r="AV30" i="2"/>
  <c r="AW30" i="2" s="1"/>
  <c r="AS30" i="2"/>
  <c r="T30" i="2"/>
  <c r="W30" i="2" s="1"/>
  <c r="AR29" i="2"/>
  <c r="AT29" i="2" s="1"/>
  <c r="P29" i="2"/>
  <c r="Q29" i="2" s="1"/>
  <c r="AH28" i="2"/>
  <c r="AB28" i="2"/>
  <c r="AY27" i="2"/>
  <c r="AS27" i="2"/>
  <c r="T27" i="2"/>
  <c r="W27" i="2" s="1"/>
  <c r="AR26" i="2"/>
  <c r="AT26" i="2" s="1"/>
  <c r="P26" i="2"/>
  <c r="Q26" i="2" s="1"/>
  <c r="AH25" i="2"/>
  <c r="AB25" i="2"/>
  <c r="AE24" i="2"/>
  <c r="AI24" i="2" s="1"/>
  <c r="AH24" i="2"/>
  <c r="Y24" i="2"/>
  <c r="AC24" i="2" s="1"/>
  <c r="AB24" i="2"/>
  <c r="AI23" i="2"/>
  <c r="AZ23" i="2"/>
  <c r="BA23" i="2"/>
  <c r="AZ22" i="2"/>
  <c r="BA22" i="2"/>
  <c r="AI20" i="2"/>
  <c r="AZ20" i="2"/>
  <c r="BA20" i="2"/>
  <c r="AZ19" i="2"/>
  <c r="BA19" i="2"/>
  <c r="AI17" i="2"/>
  <c r="AZ17" i="2"/>
  <c r="BA17" i="2"/>
  <c r="AZ16" i="2"/>
  <c r="BA16" i="2"/>
  <c r="P33" i="2"/>
  <c r="Q33" i="2" s="1"/>
  <c r="AV31" i="2"/>
  <c r="AW31" i="2" s="1"/>
  <c r="T31" i="2"/>
  <c r="W31" i="2" s="1"/>
  <c r="AR30" i="2"/>
  <c r="P30" i="2"/>
  <c r="Q30" i="2" s="1"/>
  <c r="AH29" i="2"/>
  <c r="AB29" i="2"/>
  <c r="AV28" i="2"/>
  <c r="AW28" i="2" s="1"/>
  <c r="T28" i="2"/>
  <c r="W28" i="2" s="1"/>
  <c r="AR27" i="2"/>
  <c r="P27" i="2"/>
  <c r="Q27" i="2" s="1"/>
  <c r="AH26" i="2"/>
  <c r="AB26" i="2"/>
  <c r="AY25" i="2"/>
  <c r="BA24" i="2"/>
  <c r="AZ24" i="2"/>
  <c r="BA21" i="2"/>
  <c r="AZ21" i="2"/>
  <c r="BA18" i="2"/>
  <c r="AZ18" i="2"/>
  <c r="BA15" i="2"/>
  <c r="AZ15" i="2"/>
  <c r="AY23" i="2"/>
  <c r="AV23" i="2"/>
  <c r="AW23" i="2" s="1"/>
  <c r="T23" i="2"/>
  <c r="W23" i="2" s="1"/>
  <c r="AR22" i="2"/>
  <c r="AT22" i="2" s="1"/>
  <c r="V22" i="2"/>
  <c r="P22" i="2"/>
  <c r="Q22" i="2" s="1"/>
  <c r="AH21" i="2"/>
  <c r="AB21" i="2"/>
  <c r="AY20" i="2"/>
  <c r="AV20" i="2"/>
  <c r="AW20" i="2" s="1"/>
  <c r="T20" i="2"/>
  <c r="W20" i="2" s="1"/>
  <c r="AR19" i="2"/>
  <c r="AT19" i="2" s="1"/>
  <c r="V19" i="2"/>
  <c r="P19" i="2"/>
  <c r="Q19" i="2" s="1"/>
  <c r="AH18" i="2"/>
  <c r="AB18" i="2"/>
  <c r="AY17" i="2"/>
  <c r="AV17" i="2"/>
  <c r="AW17" i="2" s="1"/>
  <c r="T17" i="2"/>
  <c r="W17" i="2" s="1"/>
  <c r="AR16" i="2"/>
  <c r="AT16" i="2" s="1"/>
  <c r="V16" i="2"/>
  <c r="P16" i="2"/>
  <c r="Q16" i="2" s="1"/>
  <c r="AH15" i="2"/>
  <c r="AB15" i="2"/>
  <c r="AY14" i="2"/>
  <c r="T14" i="2"/>
  <c r="W14" i="2" s="1"/>
  <c r="K14" i="2"/>
  <c r="P23" i="2"/>
  <c r="Q23" i="2" s="1"/>
  <c r="P20" i="2"/>
  <c r="Q20" i="2" s="1"/>
  <c r="P17" i="2"/>
  <c r="Q17" i="2" s="1"/>
  <c r="P14" i="2"/>
  <c r="Q14" i="2" s="1"/>
  <c r="AX24" i="2"/>
  <c r="P24" i="2"/>
  <c r="Q24" i="2" s="1"/>
  <c r="AY22" i="2"/>
  <c r="AX21" i="2"/>
  <c r="P21" i="2"/>
  <c r="Q21" i="2" s="1"/>
  <c r="AY19" i="2"/>
  <c r="AX18" i="2"/>
  <c r="P18" i="2"/>
  <c r="Q18" i="2" s="1"/>
  <c r="AY16" i="2"/>
  <c r="AX15" i="2"/>
  <c r="P15" i="2"/>
  <c r="Q15" i="2" s="1"/>
  <c r="K2" i="2"/>
  <c r="AW2" i="2"/>
  <c r="AH2" i="2"/>
  <c r="AE2" i="2"/>
  <c r="AG2" i="2"/>
  <c r="AA2" i="2"/>
  <c r="Y2" i="2"/>
  <c r="T2" i="2"/>
  <c r="U2" i="2"/>
  <c r="P2" i="2"/>
  <c r="M2" i="2"/>
  <c r="O2" i="2"/>
  <c r="J2" i="2"/>
  <c r="BA13" i="2" l="1"/>
  <c r="Z12" i="3"/>
  <c r="Z7" i="3"/>
  <c r="AT30" i="2"/>
  <c r="AZ5" i="2"/>
  <c r="AZ12" i="2"/>
  <c r="BA12" i="2"/>
  <c r="Z2" i="3"/>
  <c r="AT7" i="2"/>
  <c r="AZ8" i="2"/>
  <c r="AB36" i="2"/>
  <c r="Z19" i="3"/>
  <c r="AF10" i="3"/>
  <c r="AF4" i="3"/>
  <c r="BA9" i="2"/>
  <c r="AZ9" i="2"/>
  <c r="BA7" i="2"/>
  <c r="AZ7" i="2"/>
  <c r="AT27" i="2"/>
  <c r="Z18" i="3"/>
  <c r="Z8" i="3"/>
  <c r="AF7" i="3"/>
  <c r="Z4" i="3"/>
  <c r="Z3" i="3"/>
  <c r="AF2" i="3"/>
  <c r="AT4" i="2"/>
  <c r="AZ10" i="2"/>
  <c r="J36" i="2"/>
  <c r="J35" i="2"/>
  <c r="O36" i="2"/>
  <c r="O35" i="2"/>
  <c r="AA36" i="2"/>
  <c r="AA35" i="2"/>
  <c r="AG36" i="2"/>
  <c r="AG35" i="2"/>
  <c r="K36" i="2"/>
  <c r="K35" i="2"/>
  <c r="AV36" i="2"/>
  <c r="AV35" i="2"/>
  <c r="U36" i="2"/>
  <c r="U35" i="2"/>
  <c r="AS36" i="2"/>
  <c r="AS35" i="2"/>
  <c r="AB35" i="2"/>
  <c r="M35" i="2"/>
  <c r="M36" i="2"/>
  <c r="Q2" i="2"/>
  <c r="P35" i="2"/>
  <c r="P36" i="2"/>
  <c r="T35" i="2"/>
  <c r="T36" i="2"/>
  <c r="W2" i="2"/>
  <c r="AC2" i="2"/>
  <c r="Y35" i="2"/>
  <c r="Y36" i="2"/>
  <c r="AE35" i="2"/>
  <c r="AE36" i="2"/>
  <c r="AH35" i="2"/>
  <c r="AH36" i="2"/>
  <c r="AW35" i="2"/>
  <c r="AW36" i="2"/>
  <c r="AU35" i="2"/>
  <c r="AU36" i="2"/>
  <c r="AX35" i="2"/>
  <c r="AX36" i="2"/>
  <c r="V35" i="2"/>
  <c r="V36" i="2"/>
  <c r="AY35" i="2"/>
  <c r="AY36" i="2"/>
  <c r="AR35" i="2"/>
  <c r="AR36" i="2"/>
  <c r="AZ2" i="2"/>
  <c r="BA2" i="2"/>
  <c r="AZ28" i="2"/>
  <c r="AZ31" i="2"/>
  <c r="AT38" i="3"/>
  <c r="AQ38" i="3"/>
  <c r="AT34" i="3"/>
  <c r="AQ34" i="3"/>
  <c r="AT30" i="3"/>
  <c r="AQ30" i="3"/>
  <c r="AF14" i="3"/>
  <c r="AT3" i="3"/>
  <c r="AT40" i="3"/>
  <c r="AQ40" i="3"/>
  <c r="AF39" i="3"/>
  <c r="Z39" i="3"/>
  <c r="AT37" i="3"/>
  <c r="AQ37" i="3"/>
  <c r="AF35" i="3"/>
  <c r="Z35" i="3"/>
  <c r="AT33" i="3"/>
  <c r="AQ33" i="3"/>
  <c r="AF32" i="3"/>
  <c r="Z32" i="3"/>
  <c r="AT29" i="3"/>
  <c r="AQ29" i="3"/>
  <c r="AF28" i="3"/>
  <c r="Z28" i="3"/>
  <c r="AQ3" i="3"/>
  <c r="AX39" i="3"/>
  <c r="AW39" i="3"/>
  <c r="AX40" i="3"/>
  <c r="AW40" i="3"/>
  <c r="AT39" i="3"/>
  <c r="AQ39" i="3"/>
  <c r="AF38" i="3"/>
  <c r="Z38" i="3"/>
  <c r="AX37" i="3"/>
  <c r="AW37" i="3"/>
  <c r="AT35" i="3"/>
  <c r="AQ35" i="3"/>
  <c r="AF34" i="3"/>
  <c r="Z34" i="3"/>
  <c r="AX33" i="3"/>
  <c r="AW33" i="3"/>
  <c r="AT32" i="3"/>
  <c r="AQ32" i="3"/>
  <c r="AF30" i="3"/>
  <c r="Z30" i="3"/>
  <c r="AX29" i="3"/>
  <c r="AW29" i="3"/>
  <c r="AT28" i="3"/>
  <c r="AQ28" i="3"/>
  <c r="AF27" i="3"/>
  <c r="Z27" i="3"/>
  <c r="AT27" i="3"/>
  <c r="AX19" i="3"/>
  <c r="AW19" i="3"/>
  <c r="AQ27" i="3"/>
  <c r="AQ24" i="3"/>
  <c r="AW24" i="3"/>
  <c r="AX24" i="3"/>
  <c r="AW20" i="3"/>
  <c r="AX20" i="3"/>
  <c r="AF15" i="3"/>
  <c r="AX12" i="3"/>
  <c r="AW12" i="3"/>
  <c r="AX4" i="3"/>
  <c r="AW4" i="3"/>
  <c r="AX9" i="3"/>
  <c r="AW9" i="3"/>
  <c r="AX5" i="3"/>
  <c r="AW5" i="3"/>
  <c r="AW14" i="3"/>
  <c r="AX14" i="3"/>
  <c r="AF9" i="3"/>
  <c r="AT7" i="3"/>
  <c r="Z5" i="3"/>
  <c r="AX2" i="3"/>
  <c r="AW2" i="3"/>
  <c r="AX34" i="3"/>
  <c r="AW34" i="3"/>
  <c r="AX30" i="3"/>
  <c r="AW30" i="3"/>
  <c r="AX15" i="3"/>
  <c r="AW15" i="3"/>
  <c r="AF23" i="3"/>
  <c r="Z15" i="3"/>
  <c r="AX8" i="3"/>
  <c r="AW8" i="3"/>
  <c r="Z9" i="3"/>
  <c r="AQ7" i="3"/>
  <c r="AW7" i="3"/>
  <c r="AX7" i="3"/>
  <c r="AX38" i="3"/>
  <c r="AW38" i="3"/>
  <c r="AF40" i="3"/>
  <c r="Z40" i="3"/>
  <c r="AF37" i="3"/>
  <c r="Z37" i="3"/>
  <c r="AX35" i="3"/>
  <c r="AW35" i="3"/>
  <c r="AF33" i="3"/>
  <c r="Z33" i="3"/>
  <c r="AX32" i="3"/>
  <c r="AW32" i="3"/>
  <c r="AF29" i="3"/>
  <c r="Z29" i="3"/>
  <c r="AX28" i="3"/>
  <c r="AW28" i="3"/>
  <c r="AX25" i="3"/>
  <c r="AW25" i="3"/>
  <c r="AX22" i="3"/>
  <c r="AW22" i="3"/>
  <c r="AX18" i="3"/>
  <c r="AW18" i="3"/>
  <c r="AX23" i="3"/>
  <c r="AW23" i="3"/>
  <c r="AX27" i="3"/>
  <c r="AW27" i="3"/>
  <c r="AT24" i="3"/>
  <c r="Z23" i="3"/>
  <c r="AW17" i="3"/>
  <c r="AX17" i="3"/>
  <c r="AX13" i="3"/>
  <c r="AW13" i="3"/>
  <c r="AW10" i="3"/>
  <c r="AX10" i="3"/>
  <c r="AF3" i="3"/>
  <c r="AZ14" i="2"/>
  <c r="BA14" i="2"/>
  <c r="AT2" i="2"/>
  <c r="AI2" i="2"/>
  <c r="AI35" i="2" l="1"/>
  <c r="AI36" i="2"/>
  <c r="AT35" i="2"/>
  <c r="AT36" i="2"/>
  <c r="BA35" i="2"/>
  <c r="BA36" i="2"/>
  <c r="AZ35" i="2"/>
  <c r="AZ36" i="2"/>
  <c r="AC35" i="2"/>
  <c r="AC36" i="2"/>
  <c r="W35" i="2"/>
  <c r="W36" i="2"/>
  <c r="Q35" i="2"/>
  <c r="Q36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2" i="2"/>
</calcChain>
</file>

<file path=xl/sharedStrings.xml><?xml version="1.0" encoding="utf-8"?>
<sst xmlns="http://schemas.openxmlformats.org/spreadsheetml/2006/main" count="2182" uniqueCount="144">
  <si>
    <t>Week</t>
  </si>
  <si>
    <t>Day</t>
  </si>
  <si>
    <t>Date</t>
  </si>
  <si>
    <t>Time</t>
  </si>
  <si>
    <t>Home/Away</t>
  </si>
  <si>
    <t>Winner/tie</t>
  </si>
  <si>
    <t>Loser/tie</t>
  </si>
  <si>
    <t>PtsW</t>
  </si>
  <si>
    <t>PtsL</t>
  </si>
  <si>
    <t>YdsW</t>
  </si>
  <si>
    <t>TOW</t>
  </si>
  <si>
    <t>YdsL</t>
  </si>
  <si>
    <t>TOL</t>
  </si>
  <si>
    <t>Thu</t>
  </si>
  <si>
    <t>8:20PM</t>
  </si>
  <si>
    <t>H</t>
  </si>
  <si>
    <t>Tampa Bay Buccaneers</t>
  </si>
  <si>
    <t>V</t>
  </si>
  <si>
    <t>Dallas Cowboys</t>
  </si>
  <si>
    <t>Sun</t>
  </si>
  <si>
    <t>1:00PM</t>
  </si>
  <si>
    <t>Philadelphia Eagles</t>
  </si>
  <si>
    <t>Atlanta Falcons</t>
  </si>
  <si>
    <t>Pittsburgh Steelers</t>
  </si>
  <si>
    <t>Buffalo Bills</t>
  </si>
  <si>
    <t>Carolina Panthers</t>
  </si>
  <si>
    <t>New York Jets</t>
  </si>
  <si>
    <t>Cincinnati Bengals</t>
  </si>
  <si>
    <t>Minnesota Vikings</t>
  </si>
  <si>
    <t>Seattle Seahawks</t>
  </si>
  <si>
    <t>Indianapolis Colts</t>
  </si>
  <si>
    <t>Arizona Cardinals</t>
  </si>
  <si>
    <t>Tennessee Titans</t>
  </si>
  <si>
    <t>San Francisco 49ers</t>
  </si>
  <si>
    <t>Detroit Lions</t>
  </si>
  <si>
    <t>Houston Texans</t>
  </si>
  <si>
    <t>Jacksonville Jaguars</t>
  </si>
  <si>
    <t>Los Angeles Chargers</t>
  </si>
  <si>
    <t>Washington Football Team</t>
  </si>
  <si>
    <t>4:25PM</t>
  </si>
  <si>
    <t>Kansas City Chiefs</t>
  </si>
  <si>
    <t>Cleveland Browns</t>
  </si>
  <si>
    <t>Denver Broncos</t>
  </si>
  <si>
    <t>New York Giants</t>
  </si>
  <si>
    <t>New Orleans Saints</t>
  </si>
  <si>
    <t>Green Bay Packers</t>
  </si>
  <si>
    <t>Miami Dolphins</t>
  </si>
  <si>
    <t>New England Patriots</t>
  </si>
  <si>
    <t>Los Angeles Rams</t>
  </si>
  <si>
    <t>Chicago Bears</t>
  </si>
  <si>
    <t>Mon</t>
  </si>
  <si>
    <t>8:15PM</t>
  </si>
  <si>
    <t>Las Vegas Raiders</t>
  </si>
  <si>
    <t>Baltimore Ravens</t>
  </si>
  <si>
    <t>4:05PM</t>
  </si>
  <si>
    <t>9:30AM</t>
  </si>
  <si>
    <t>12:30PM</t>
  </si>
  <si>
    <t>4:30PM</t>
  </si>
  <si>
    <t>4:00PM</t>
  </si>
  <si>
    <t>Sat</t>
  </si>
  <si>
    <t>5:00PM</t>
  </si>
  <si>
    <t>Tue</t>
  </si>
  <si>
    <t>7:00PM</t>
  </si>
  <si>
    <t>8:25PM</t>
  </si>
  <si>
    <t>WildCard</t>
  </si>
  <si>
    <t>4:40PM</t>
  </si>
  <si>
    <t>Division</t>
  </si>
  <si>
    <t>3:00PM</t>
  </si>
  <si>
    <t>6:30PM</t>
  </si>
  <si>
    <t>ConfChamp</t>
  </si>
  <si>
    <t>SuperBowl</t>
  </si>
  <si>
    <t>Teams</t>
  </si>
  <si>
    <t>First Places</t>
  </si>
  <si>
    <t>Last Places</t>
  </si>
  <si>
    <t>NFC/AFC</t>
  </si>
  <si>
    <t>Total Wins</t>
  </si>
  <si>
    <t>Total Loses</t>
  </si>
  <si>
    <t>Total Wins @ Home</t>
  </si>
  <si>
    <t>Total Loses @ Home</t>
  </si>
  <si>
    <t>Total Wins Away</t>
  </si>
  <si>
    <t>Total Loses Away</t>
  </si>
  <si>
    <t>Total Points Scored</t>
  </si>
  <si>
    <t>Average Points</t>
  </si>
  <si>
    <t>Total Points Allowed</t>
  </si>
  <si>
    <t>Average Points Allowed</t>
  </si>
  <si>
    <t>Points Differential</t>
  </si>
  <si>
    <t>Average Points Differential</t>
  </si>
  <si>
    <t>Total Yards</t>
  </si>
  <si>
    <t>Total Yards Allowed</t>
  </si>
  <si>
    <t>Average Yards</t>
  </si>
  <si>
    <t>Average Yards Allowed</t>
  </si>
  <si>
    <t>Total Yards Differential</t>
  </si>
  <si>
    <t>Avg Yard Differential</t>
  </si>
  <si>
    <t>If Win, Points Scored</t>
  </si>
  <si>
    <t>If Win Average</t>
  </si>
  <si>
    <t>If Win, Opponent Scored</t>
  </si>
  <si>
    <t>If Win Opponent Average</t>
  </si>
  <si>
    <t>Win Total Differential</t>
  </si>
  <si>
    <t>Win Average Pts Differential</t>
  </si>
  <si>
    <t>If Loss, Points Scored</t>
  </si>
  <si>
    <t>If Loss, Points Average</t>
  </si>
  <si>
    <t>If Loss, Opponent Scored</t>
  </si>
  <si>
    <t>If Loss, Opponents Average</t>
  </si>
  <si>
    <t>If Loss, Total Pts Differential</t>
  </si>
  <si>
    <t>If Loss, Avg Pts Differential</t>
  </si>
  <si>
    <t>Closet Win</t>
  </si>
  <si>
    <t>Closest Loss</t>
  </si>
  <si>
    <t>Biggest Win</t>
  </si>
  <si>
    <t>Biggest Loss</t>
  </si>
  <si>
    <t>Most Points</t>
  </si>
  <si>
    <t>Least Points</t>
  </si>
  <si>
    <t>Most Yards</t>
  </si>
  <si>
    <t>Least Yards</t>
  </si>
  <si>
    <t>If Win, Average Yards</t>
  </si>
  <si>
    <t>If Win, Average Opponents Yards</t>
  </si>
  <si>
    <t>Win, Avg Yards Differential</t>
  </si>
  <si>
    <t>If Lose, Average Yards</t>
  </si>
  <si>
    <t>If Lose, Average Opponents Yards</t>
  </si>
  <si>
    <t>Lose, Yards Differential</t>
  </si>
  <si>
    <t>Average Points @ Home</t>
  </si>
  <si>
    <t>Average Yards @ Homes</t>
  </si>
  <si>
    <t>Average Points Away</t>
  </si>
  <si>
    <t>Average Yards Away</t>
  </si>
  <si>
    <t>NFC</t>
  </si>
  <si>
    <t>South</t>
  </si>
  <si>
    <t>East</t>
  </si>
  <si>
    <t>AFC</t>
  </si>
  <si>
    <t>North</t>
  </si>
  <si>
    <t>West</t>
  </si>
  <si>
    <t>San Franciso 49ers</t>
  </si>
  <si>
    <t>Yards Differential</t>
  </si>
  <si>
    <t>Sum of Total Wins</t>
  </si>
  <si>
    <t>Sum of Total Loses</t>
  </si>
  <si>
    <t>Grand Total</t>
  </si>
  <si>
    <t>Average of Average Points</t>
  </si>
  <si>
    <t>Sum of Most Points</t>
  </si>
  <si>
    <t>Sum of Biggest Win</t>
  </si>
  <si>
    <t>Sum of Closest Loss</t>
  </si>
  <si>
    <t>Sum of Average Points Allowed</t>
  </si>
  <si>
    <t>Sum of Average Points @ Home</t>
  </si>
  <si>
    <t>Sum of Average Points Away</t>
  </si>
  <si>
    <t>Points Scored Home vs. Away</t>
  </si>
  <si>
    <t>More Home</t>
  </si>
  <si>
    <t>More 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</si>
</sst>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);[Red]\(#,##0.000\)"/>
    <numFmt numFmtId="165" formatCode="#,##0.0000_);[Red]\(#,##0.0000\)"/>
  </numFmts>
  <fonts count="5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  <charset val="1"/>
    </font>
    <font>
      <sz val="8.6"/>
      <color rgb="FF000000"/>
      <name val="Verdana"/>
      <family val="2"/>
      <charset val="1"/>
    </font>
    <font>
      <b/>
      <sz val="8.6"/>
      <color rgb="FF000000"/>
      <name val="Verdana"/>
      <family val="2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rgb="FF747678"/>
      </left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/>
      <top style="thin">
        <color rgb="FF747678"/>
      </top>
      <bottom style="thin">
        <color rgb="FF747678"/>
      </bottom>
      <diagonal/>
    </border>
    <border>
      <left style="thin">
        <color rgb="FFDDDDDD"/>
      </left>
      <right style="thin">
        <color rgb="FF747678"/>
      </right>
      <top style="thin">
        <color rgb="FF747678"/>
      </top>
      <bottom style="thin">
        <color rgb="FF747678"/>
      </bottom>
      <diagonal/>
    </border>
    <border>
      <left style="thin">
        <color rgb="FF747678"/>
      </left>
      <right/>
      <top/>
      <bottom style="dotted">
        <color rgb="FFDDDDDD"/>
      </bottom>
      <diagonal/>
    </border>
    <border>
      <left style="thin">
        <color rgb="FFDDDDDD"/>
      </left>
      <right/>
      <top/>
      <bottom style="dotted">
        <color rgb="FFDDDDDD"/>
      </bottom>
      <diagonal/>
    </border>
    <border>
      <left style="thin">
        <color rgb="FFDDDDDD"/>
      </left>
      <right style="thin">
        <color rgb="FF747678"/>
      </right>
      <top/>
      <bottom style="dotted">
        <color rgb="FFDDDDDD"/>
      </bottom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thin">
        <color rgb="FFDDDDDD"/>
      </left>
      <right style="thin">
        <color rgb="FF747678"/>
      </right>
      <top/>
      <bottom style="thin">
        <color rgb="FF747678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0" fontId="3" fillId="2" borderId="5" xfId="0" applyFont="1" applyFill="1" applyBorder="1"/>
    <xf numFmtId="0" fontId="2" fillId="2" borderId="6" xfId="0" applyFont="1" applyFill="1" applyBorder="1"/>
    <xf numFmtId="0" fontId="2" fillId="2" borderId="5" xfId="0" quotePrefix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14" fontId="2" fillId="2" borderId="8" xfId="0" applyNumberFormat="1" applyFont="1" applyFill="1" applyBorder="1"/>
    <xf numFmtId="0" fontId="3" fillId="2" borderId="8" xfId="0" applyFont="1" applyFill="1" applyBorder="1"/>
    <xf numFmtId="0" fontId="2" fillId="2" borderId="9" xfId="0" applyFont="1" applyFill="1" applyBorder="1"/>
    <xf numFmtId="38" fontId="0" fillId="0" borderId="0" xfId="0" applyNumberFormat="1"/>
    <xf numFmtId="4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2" fontId="0" fillId="0" borderId="0" xfId="0" applyNumberFormat="1"/>
    <xf numFmtId="0" fontId="4" fillId="4" borderId="10" xfId="0" applyFont="1" applyFill="1" applyBorder="1"/>
  </cellXfs>
  <cellStyles count="1">
    <cellStyle name="Normal" xfId="0" builtinId="0"/>
  </cellStyles>
  <dxfs count="85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[NFL Stats 2021-22 Season.xlsx]Wins and Loses!PivotTable1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Wins and Losses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'Wins and Loses'!$B$2</c:f>
              <c:strCache>
                <c:ptCount val="1"/>
                <c:pt idx="0">
                  <c:v>Sum of Total Wins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'Wins and Loses'!$A$3:$A$35</c:f>
              <c:strCache>
                <c:ptCount val="32"/>
                <c:pt idx="0">
                  <c:v>Los Angeles Rams</c:v>
                </c:pt>
                <c:pt idx="1">
                  <c:v>Tampa Bay Buccaneers</c:v>
                </c:pt>
                <c:pt idx="2">
                  <c:v>Kansas City Chiefs</c:v>
                </c:pt>
                <c:pt idx="3">
                  <c:v>Green Bay Packers</c:v>
                </c:pt>
                <c:pt idx="4">
                  <c:v>Cincinnati Bengals</c:v>
                </c:pt>
                <c:pt idx="5">
                  <c:v>San Francisco 49ers</c:v>
                </c:pt>
                <c:pt idx="6">
                  <c:v>Tennessee Titans</c:v>
                </c:pt>
                <c:pt idx="7">
                  <c:v>Buffalo Bills</c:v>
                </c:pt>
                <c:pt idx="8">
                  <c:v>Dallas Cowboys</c:v>
                </c:pt>
                <c:pt idx="9">
                  <c:v>Arizona Cardinals</c:v>
                </c:pt>
                <c:pt idx="10">
                  <c:v>Pittsburgh Steelers</c:v>
                </c:pt>
                <c:pt idx="11">
                  <c:v>New England Patriots</c:v>
                </c:pt>
                <c:pt idx="12">
                  <c:v>Las Vegas Raiders</c:v>
                </c:pt>
                <c:pt idx="13">
                  <c:v>Indianapolis Colts</c:v>
                </c:pt>
                <c:pt idx="14">
                  <c:v>Miami Dolphins</c:v>
                </c:pt>
                <c:pt idx="15">
                  <c:v>New Orleans Saints</c:v>
                </c:pt>
                <c:pt idx="16">
                  <c:v>Philadelphia Eagles</c:v>
                </c:pt>
                <c:pt idx="17">
                  <c:v>Los Angeles Chargers</c:v>
                </c:pt>
                <c:pt idx="18">
                  <c:v>Minnesota Vikings</c:v>
                </c:pt>
                <c:pt idx="19">
                  <c:v>Baltimore Ravens</c:v>
                </c:pt>
                <c:pt idx="20">
                  <c:v>Cleveland Browns</c:v>
                </c:pt>
                <c:pt idx="21">
                  <c:v>Seattle Seahawks</c:v>
                </c:pt>
                <c:pt idx="22">
                  <c:v>Denver Broncos</c:v>
                </c:pt>
                <c:pt idx="23">
                  <c:v>Washington Football Team</c:v>
                </c:pt>
                <c:pt idx="24">
                  <c:v>Atlanta Falcons</c:v>
                </c:pt>
                <c:pt idx="25">
                  <c:v>Chicago Bears</c:v>
                </c:pt>
                <c:pt idx="26">
                  <c:v>Carolina Panthers</c:v>
                </c:pt>
                <c:pt idx="27">
                  <c:v>Houston Texans</c:v>
                </c:pt>
                <c:pt idx="28">
                  <c:v>New York Giants</c:v>
                </c:pt>
                <c:pt idx="29">
                  <c:v>New York Jets</c:v>
                </c:pt>
                <c:pt idx="30">
                  <c:v>Jacksonville Jaguars</c:v>
                </c:pt>
                <c:pt idx="31">
                  <c:v>Detroit Lions</c:v>
                </c:pt>
              </c:strCache>
            </c:strRef>
          </c:cat>
          <c:val>
            <c:numRef>
              <c:f>'Wins and Loses'!$B$3:$B$35</c:f>
              <c:numCache>
                <c:formatCode>General</c:formatCode>
                <c:ptCount val="32"/>
                <c:pt idx="0">
                  <c:v>16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F-4CE8-BA73-9F63B40CE004}"/>
            </c:ext>
          </c:extLst>
        </c:ser>
        <c:ser>
          <c:idx val="1"/>
          <c:order val="1"/>
          <c:tx>
            <c:strRef>
              <c:f>'Wins and Loses'!$C$2</c:f>
              <c:strCache>
                <c:ptCount val="1"/>
                <c:pt idx="0">
                  <c:v>Sum of Total Loses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'Wins and Loses'!$A$3:$A$35</c:f>
              <c:strCache>
                <c:ptCount val="32"/>
                <c:pt idx="0">
                  <c:v>Los Angeles Rams</c:v>
                </c:pt>
                <c:pt idx="1">
                  <c:v>Tampa Bay Buccaneers</c:v>
                </c:pt>
                <c:pt idx="2">
                  <c:v>Kansas City Chiefs</c:v>
                </c:pt>
                <c:pt idx="3">
                  <c:v>Green Bay Packers</c:v>
                </c:pt>
                <c:pt idx="4">
                  <c:v>Cincinnati Bengals</c:v>
                </c:pt>
                <c:pt idx="5">
                  <c:v>San Francisco 49ers</c:v>
                </c:pt>
                <c:pt idx="6">
                  <c:v>Tennessee Titans</c:v>
                </c:pt>
                <c:pt idx="7">
                  <c:v>Buffalo Bills</c:v>
                </c:pt>
                <c:pt idx="8">
                  <c:v>Dallas Cowboys</c:v>
                </c:pt>
                <c:pt idx="9">
                  <c:v>Arizona Cardinals</c:v>
                </c:pt>
                <c:pt idx="10">
                  <c:v>Pittsburgh Steelers</c:v>
                </c:pt>
                <c:pt idx="11">
                  <c:v>New England Patriots</c:v>
                </c:pt>
                <c:pt idx="12">
                  <c:v>Las Vegas Raiders</c:v>
                </c:pt>
                <c:pt idx="13">
                  <c:v>Indianapolis Colts</c:v>
                </c:pt>
                <c:pt idx="14">
                  <c:v>Miami Dolphins</c:v>
                </c:pt>
                <c:pt idx="15">
                  <c:v>New Orleans Saints</c:v>
                </c:pt>
                <c:pt idx="16">
                  <c:v>Philadelphia Eagles</c:v>
                </c:pt>
                <c:pt idx="17">
                  <c:v>Los Angeles Chargers</c:v>
                </c:pt>
                <c:pt idx="18">
                  <c:v>Minnesota Vikings</c:v>
                </c:pt>
                <c:pt idx="19">
                  <c:v>Baltimore Ravens</c:v>
                </c:pt>
                <c:pt idx="20">
                  <c:v>Cleveland Browns</c:v>
                </c:pt>
                <c:pt idx="21">
                  <c:v>Seattle Seahawks</c:v>
                </c:pt>
                <c:pt idx="22">
                  <c:v>Denver Broncos</c:v>
                </c:pt>
                <c:pt idx="23">
                  <c:v>Washington Football Team</c:v>
                </c:pt>
                <c:pt idx="24">
                  <c:v>Atlanta Falcons</c:v>
                </c:pt>
                <c:pt idx="25">
                  <c:v>Chicago Bears</c:v>
                </c:pt>
                <c:pt idx="26">
                  <c:v>Carolina Panthers</c:v>
                </c:pt>
                <c:pt idx="27">
                  <c:v>Houston Texans</c:v>
                </c:pt>
                <c:pt idx="28">
                  <c:v>New York Giants</c:v>
                </c:pt>
                <c:pt idx="29">
                  <c:v>New York Jets</c:v>
                </c:pt>
                <c:pt idx="30">
                  <c:v>Jacksonville Jaguars</c:v>
                </c:pt>
                <c:pt idx="31">
                  <c:v>Detroit Lions</c:v>
                </c:pt>
              </c:strCache>
            </c:strRef>
          </c:cat>
          <c:val>
            <c:numRef>
              <c:f>'Wins and Loses'!$C$3:$C$35</c:f>
              <c:numCache>
                <c:formatCode>General</c:formatCode>
                <c:ptCount val="32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14</c:v>
                </c:pt>
                <c:pt idx="3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8F-4CE8-BA73-9F63B40CE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715272"/>
        <c:axId val="677027976"/>
      </c:barChart>
      <c:catAx>
        <c:axId val="66371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27976"/>
        <c:crosses val="autoZero"/>
        <c:auto val="1"/>
        <c:lblAlgn val="ctr"/>
        <c:lblOffset val="100"/>
        <c:noMultiLvlLbl val="0"/>
      </c:catAx>
      <c:valAx>
        <c:axId val="67702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71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3</xdr:row>
      <xdr:rowOff>76200</xdr:rowOff>
    </xdr:from>
    <xdr:to>
      <xdr:col>19</xdr:col>
      <xdr:colOff>323850</xdr:colOff>
      <xdr:row>26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21573-05B4-4B99-9B6B-4BB45169B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618.966775925925" createdVersion="7" refreshedVersion="7" minRefreshableVersion="3" recordCount="32" xr:uid="{53041EC8-869F-4FD0-8AD3-6B8FFDDB4104}">
  <cacheSource type="worksheet">
    <worksheetSource ref="A1:H33" sheet="Teams"/>
  </cacheSource>
  <cacheFields count="6">
    <cacheField name="Teams" numFmtId="0">
      <sharedItems count="32">
        <s v="Tampa Bay Buccaneers"/>
        <s v="Philadelphia Eagles"/>
        <s v="Pittsburgh Steelers"/>
        <s v="Carolina Panthers"/>
        <s v="Cincinnati Bengals"/>
        <s v="Seattle Seahawks"/>
        <s v="Arizona Cardinals"/>
        <s v="San Francisco 49ers"/>
        <s v="Houston Texans"/>
        <s v="Los Angeles Chargers"/>
        <s v="Kansas City Chiefs"/>
        <s v="Denver Broncos"/>
        <s v="New Orleans Saints"/>
        <s v="Miami Dolphins"/>
        <s v="Los Angeles Rams"/>
        <s v="Las Vegas Raiders"/>
        <s v="Washington Football Team"/>
        <s v="Buffalo Bills"/>
        <s v="Chicago Bears"/>
        <s v="Cleveland Browns"/>
        <s v="New England Patriots"/>
        <s v="Dallas Cowboys"/>
        <s v="Tennessee Titans"/>
        <s v="Baltimore Ravens"/>
        <s v="Green Bay Packers"/>
        <s v="Atlanta Falcons"/>
        <s v="Minnesota Vikings"/>
        <s v="Indianapolis Colts"/>
        <s v="New York Giants"/>
        <s v="New York Jets"/>
        <s v="Jacksonville Jaguars"/>
        <s v="Detroit Lions"/>
      </sharedItems>
    </cacheField>
    <cacheField name="NFC/AFC" numFmtId="0">
      <sharedItems/>
    </cacheField>
    <cacheField name="Division" numFmtId="0">
      <sharedItems/>
    </cacheField>
    <cacheField name="Total Wins" numFmtId="0">
      <sharedItems containsSemiMixedTypes="0" containsString="0" containsNumber="1" containsInteger="1" minValue="3" maxValue="16"/>
    </cacheField>
    <cacheField name="Total Loses" numFmtId="0">
      <sharedItems containsSemiMixedTypes="0" containsString="0" containsNumber="1" containsInteger="1" minValue="5" maxValue="14"/>
    </cacheField>
    <cacheField name="Total Wins @ Home" numFmtId="0">
      <sharedItems containsSemiMixedTypes="0" containsString="0" containsNumber="1" containsInteger="1" minValue="2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618.975586458335" createdVersion="7" refreshedVersion="7" minRefreshableVersion="3" recordCount="32" xr:uid="{BEAE90FF-7C42-4B88-A1FD-BC127F3953A3}">
  <cacheSource type="worksheet">
    <worksheetSource ref="A1:BA33" sheet="Teams"/>
  </cacheSource>
  <cacheFields count="50">
    <cacheField name="Teams" numFmtId="0">
      <sharedItems count="32">
        <s v="Tampa Bay Buccaneers"/>
        <s v="Philadelphia Eagles"/>
        <s v="Pittsburgh Steelers"/>
        <s v="Carolina Panthers"/>
        <s v="Cincinnati Bengals"/>
        <s v="Seattle Seahawks"/>
        <s v="Arizona Cardinals"/>
        <s v="San Francisco 49ers"/>
        <s v="Houston Texans"/>
        <s v="Los Angeles Chargers"/>
        <s v="Kansas City Chiefs"/>
        <s v="Denver Broncos"/>
        <s v="New Orleans Saints"/>
        <s v="Miami Dolphins"/>
        <s v="Los Angeles Rams"/>
        <s v="Las Vegas Raiders"/>
        <s v="Washington Football Team"/>
        <s v="Buffalo Bills"/>
        <s v="Chicago Bears"/>
        <s v="Cleveland Browns"/>
        <s v="New England Patriots"/>
        <s v="Dallas Cowboys"/>
        <s v="Tennessee Titans"/>
        <s v="Baltimore Ravens"/>
        <s v="Green Bay Packers"/>
        <s v="Atlanta Falcons"/>
        <s v="Minnesota Vikings"/>
        <s v="Indianapolis Colts"/>
        <s v="New York Giants"/>
        <s v="New York Jets"/>
        <s v="Jacksonville Jaguars"/>
        <s v="Detroit Lions"/>
      </sharedItems>
    </cacheField>
    <cacheField name="NFC/AFC" numFmtId="0">
      <sharedItems count="2">
        <s v="NFC"/>
        <s v="AFC"/>
      </sharedItems>
    </cacheField>
    <cacheField name="Division" numFmtId="0">
      <sharedItems/>
    </cacheField>
    <cacheField name="Total Wins" numFmtId="0">
      <sharedItems containsSemiMixedTypes="0" containsString="0" containsNumber="1" containsInteger="1" minValue="3" maxValue="16"/>
    </cacheField>
    <cacheField name="Total Loses" numFmtId="0">
      <sharedItems containsSemiMixedTypes="0" containsString="0" containsNumber="1" containsInteger="1" minValue="5" maxValue="14"/>
    </cacheField>
    <cacheField name="Total Wins @ Home" numFmtId="0">
      <sharedItems containsSemiMixedTypes="0" containsString="0" containsNumber="1" containsInteger="1" minValue="2" maxValue="9"/>
    </cacheField>
    <cacheField name="Total Loses @ Home" numFmtId="0">
      <sharedItems containsSemiMixedTypes="0" containsString="0" containsNumber="1" containsInteger="1" minValue="1" maxValue="7"/>
    </cacheField>
    <cacheField name="Total Wins Away" numFmtId="0">
      <sharedItems containsSemiMixedTypes="0" containsString="0" containsNumber="1" containsInteger="1" minValue="0" maxValue="8"/>
    </cacheField>
    <cacheField name="Total Loses Away" numFmtId="0">
      <sharedItems containsSemiMixedTypes="0" containsString="0" containsNumber="1" containsInteger="1" minValue="2" maxValue="9"/>
    </cacheField>
    <cacheField name="Total Points Scored" numFmtId="0">
      <sharedItems containsSemiMixedTypes="0" containsString="0" containsNumber="1" containsInteger="1" minValue="253" maxValue="588"/>
    </cacheField>
    <cacheField name="Average Points" numFmtId="0">
      <sharedItems containsSemiMixedTypes="0" containsString="0" containsNumber="1" minValue="14.882352941176471" maxValue="30.388888888888889"/>
    </cacheField>
    <cacheField name="Total Points Allowed" numFmtId="0">
      <sharedItems containsSemiMixedTypes="0" containsString="0" containsNumber="1" containsInteger="1" minValue="322" maxValue="504"/>
    </cacheField>
    <cacheField name="Average Points Allowed" numFmtId="0">
      <sharedItems containsSemiMixedTypes="0" containsString="0" containsNumber="1" minValue="18.315789473684209" maxValue="29.647058823529413"/>
    </cacheField>
    <cacheField name="Points Differential" numFmtId="38">
      <sharedItems containsSemiMixedTypes="0" containsString="0" containsNumber="1" containsInteger="1" minValue="-204" maxValue="218"/>
    </cacheField>
    <cacheField name="Average Points Differential" numFmtId="0">
      <sharedItems containsSemiMixedTypes="0" containsString="0" containsNumber="1" minValue="-12" maxValue="11.473684210526315"/>
    </cacheField>
    <cacheField name="Total Yards" numFmtId="38">
      <sharedItems containsSemiMixedTypes="0" containsString="0" containsNumber="1" containsInteger="1" minValue="4727" maxValue="8151"/>
    </cacheField>
    <cacheField name="Total Yards Allowed" numFmtId="38">
      <sharedItems containsSemiMixedTypes="0" containsString="0" containsNumber="1" containsInteger="1" minValue="5201" maxValue="7390"/>
    </cacheField>
    <cacheField name="Average Yards" numFmtId="38">
      <sharedItems containsSemiMixedTypes="0" containsString="0" containsNumber="1" minValue="278.05882352941177" maxValue="407.55"/>
    </cacheField>
    <cacheField name="Average Yards Allowed" numFmtId="38">
      <sharedItems containsSemiMixedTypes="0" containsString="0" containsNumber="1" minValue="289.5263157894737" maxValue="397.64705882352939"/>
    </cacheField>
    <cacheField name="Yards Differential" numFmtId="38">
      <sharedItems containsSemiMixedTypes="0" containsString="0" containsNumber="1" containsInteger="1" minValue="-1808" maxValue="1896"/>
    </cacheField>
    <cacheField name="If Win, Points Scored" numFmtId="38">
      <sharedItems containsSemiMixedTypes="0" containsString="0" containsNumber="1" containsInteger="1" minValue="58" maxValue="472"/>
    </cacheField>
    <cacheField name="If Win Average" numFmtId="38">
      <sharedItems containsSemiMixedTypes="0" containsString="0" containsNumber="1" minValue="19.333333333333332" maxValue="35.416666666666664"/>
    </cacheField>
    <cacheField name="If Win, Opponent Scored" numFmtId="38">
      <sharedItems containsSemiMixedTypes="0" containsString="0" containsNumber="1" containsInteger="1" minValue="37" maxValue="288"/>
    </cacheField>
    <cacheField name="If Win Opponent Average" numFmtId="38">
      <sharedItems containsSemiMixedTypes="0" containsString="0" containsNumber="1" minValue="10.6" maxValue="23.666666666666668"/>
    </cacheField>
    <cacheField name="Win Total Differential" numFmtId="38">
      <sharedItems containsSemiMixedTypes="0" containsString="0" containsNumber="1" containsInteger="1" minValue="18" maxValue="273"/>
    </cacheField>
    <cacheField name="Win Average Pts Differential" numFmtId="38">
      <sharedItems containsSemiMixedTypes="0" containsString="0" containsNumber="1" minValue="4.5" maxValue="22.75"/>
    </cacheField>
    <cacheField name="If Loss, Points Scored" numFmtId="38">
      <sharedItems containsSemiMixedTypes="0" containsString="0" containsNumber="1" containsInteger="1" minValue="81" maxValue="229"/>
    </cacheField>
    <cacheField name="If Loss, Points Average" numFmtId="165">
      <sharedItems containsSemiMixedTypes="0" containsString="0" containsNumber="1" minValue="11.538461538461538" maxValue="22.833333333333332"/>
    </cacheField>
    <cacheField name="If Loss, Opponent Scored" numFmtId="38">
      <sharedItems containsSemiMixedTypes="0" containsString="0" containsNumber="1" containsInteger="1" minValue="135" maxValue="420"/>
    </cacheField>
    <cacheField name="If Loss, Opponents Average" numFmtId="165">
      <sharedItems containsSemiMixedTypes="0" containsString="0" containsNumber="1" minValue="22.7" maxValue="34.125"/>
    </cacheField>
    <cacheField name="If Loss, Total Pts Differential" numFmtId="38">
      <sharedItems containsSemiMixedTypes="0" containsString="0" containsNumber="1" containsInteger="1" minValue="-225" maxValue="-38"/>
    </cacheField>
    <cacheField name="If Loss, Avg Pts Differential" numFmtId="165">
      <sharedItems containsSemiMixedTypes="0" containsString="0" containsNumber="1" minValue="-17.900000000000002" maxValue="-6.3333333333333321"/>
    </cacheField>
    <cacheField name="Closet Win" numFmtId="38">
      <sharedItems containsSemiMixedTypes="0" containsString="0" containsNumber="1" containsInteger="1" minValue="1" maxValue="12"/>
    </cacheField>
    <cacheField name="Closest Loss" numFmtId="38">
      <sharedItems containsSemiMixedTypes="0" containsString="0" containsNumber="1" containsInteger="1" minValue="-4" maxValue="-1"/>
    </cacheField>
    <cacheField name="Biggest Win" numFmtId="38">
      <sharedItems containsSemiMixedTypes="0" containsString="0" containsNumber="1" containsInteger="1" minValue="7" maxValue="42"/>
    </cacheField>
    <cacheField name="Biggest Loss" numFmtId="38">
      <sharedItems containsSemiMixedTypes="0" containsString="0" containsNumber="1" containsInteger="1" minValue="-42" maxValue="-10"/>
    </cacheField>
    <cacheField name="Most Points" numFmtId="38">
      <sharedItems containsSemiMixedTypes="0" containsString="0" containsNumber="1" containsInteger="1" minValue="26" maxValue="56"/>
    </cacheField>
    <cacheField name="Least Points" numFmtId="38">
      <sharedItems containsSemiMixedTypes="0" containsString="0" containsNumber="1" containsInteger="1" minValue="0" maxValue="15"/>
    </cacheField>
    <cacheField name="Most Yards" numFmtId="38">
      <sharedItems containsSemiMixedTypes="0" containsString="0" containsNumber="1" containsInteger="1" minValue="391" maxValue="575"/>
    </cacheField>
    <cacheField name="Least Yards" numFmtId="38">
      <sharedItems containsSemiMixedTypes="0" containsString="0" containsNumber="1" containsInteger="1" minValue="47" maxValue="299"/>
    </cacheField>
    <cacheField name="If Win, Average Yards" numFmtId="38">
      <sharedItems containsSemiMixedTypes="0" containsString="0" containsNumber="1" minValue="295.83333333333331" maxValue="430.33333333333331"/>
    </cacheField>
    <cacheField name="If Win, Average Opponents Yards" numFmtId="38">
      <sharedItems containsSemiMixedTypes="0" containsString="0" containsNumber="1" minValue="191" maxValue="400.66666666666669"/>
    </cacheField>
    <cacheField name="Win, Avg Yards Differential" numFmtId="38">
      <sharedItems containsSemiMixedTypes="0" containsString="0" containsNumber="1" minValue="-42.75" maxValue="177.8"/>
    </cacheField>
    <cacheField name="If Lose, Average Yards" numFmtId="38">
      <sharedItems containsSemiMixedTypes="0" containsString="0" containsNumber="1" minValue="259.23076923076923" maxValue="392.83333333333331"/>
    </cacheField>
    <cacheField name="If Lose, Average Opponents Yards" numFmtId="38">
      <sharedItems containsSemiMixedTypes="0" containsString="0" containsNumber="1" minValue="311.33333333333331" maxValue="417.38461538461536"/>
    </cacheField>
    <cacheField name="Lose, Yards Differential" numFmtId="38">
      <sharedItems containsSemiMixedTypes="0" containsString="0" containsNumber="1" minValue="-132.53846153846149" maxValue="42.666666666666686"/>
    </cacheField>
    <cacheField name="Average Points @ Home" numFmtId="38">
      <sharedItems containsSemiMixedTypes="0" containsString="0" containsNumber="1" minValue="14" maxValue="34.222222222222221"/>
    </cacheField>
    <cacheField name="Average Yards @ Homes" numFmtId="38">
      <sharedItems containsSemiMixedTypes="0" containsString="0" containsNumber="1" minValue="276.625" maxValue="404.7"/>
    </cacheField>
    <cacheField name="Average Points Away" numFmtId="38">
      <sharedItems containsSemiMixedTypes="0" containsString="0" containsNumber="1" minValue="12.125" maxValue="31.333333333333332"/>
    </cacheField>
    <cacheField name="Average Yards Away" numFmtId="38">
      <sharedItems containsSemiMixedTypes="0" containsString="0" containsNumber="1" minValue="236.125" maxValue="440.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NFC"/>
    <s v="South"/>
    <n v="14"/>
    <n v="5"/>
    <n v="8"/>
  </r>
  <r>
    <x v="1"/>
    <s v="NFC"/>
    <s v="East"/>
    <n v="9"/>
    <n v="9"/>
    <n v="3"/>
  </r>
  <r>
    <x v="2"/>
    <s v="AFC"/>
    <s v="North"/>
    <n v="10"/>
    <n v="8"/>
    <n v="7"/>
  </r>
  <r>
    <x v="3"/>
    <s v="NFC"/>
    <s v="South"/>
    <n v="5"/>
    <n v="12"/>
    <n v="2"/>
  </r>
  <r>
    <x v="4"/>
    <s v="AFC"/>
    <s v="North"/>
    <n v="13"/>
    <n v="8"/>
    <n v="6"/>
  </r>
  <r>
    <x v="5"/>
    <s v="NFC"/>
    <s v="West"/>
    <n v="7"/>
    <n v="10"/>
    <n v="3"/>
  </r>
  <r>
    <x v="6"/>
    <s v="NFC"/>
    <s v="West"/>
    <n v="11"/>
    <n v="7"/>
    <n v="3"/>
  </r>
  <r>
    <x v="7"/>
    <s v="NFC"/>
    <s v="West"/>
    <n v="12"/>
    <n v="8"/>
    <n v="4"/>
  </r>
  <r>
    <x v="8"/>
    <s v="AFC"/>
    <s v="South"/>
    <n v="4"/>
    <n v="13"/>
    <n v="2"/>
  </r>
  <r>
    <x v="9"/>
    <s v="AFC"/>
    <s v="West"/>
    <n v="9"/>
    <n v="8"/>
    <n v="5"/>
  </r>
  <r>
    <x v="10"/>
    <s v="AFC"/>
    <s v="West"/>
    <n v="14"/>
    <n v="6"/>
    <n v="9"/>
  </r>
  <r>
    <x v="11"/>
    <s v="AFC"/>
    <s v="West"/>
    <n v="7"/>
    <n v="10"/>
    <n v="4"/>
  </r>
  <r>
    <x v="12"/>
    <s v="NFC"/>
    <s v="South"/>
    <n v="9"/>
    <n v="8"/>
    <n v="3"/>
  </r>
  <r>
    <x v="13"/>
    <s v="AFC"/>
    <s v="East"/>
    <n v="9"/>
    <n v="8"/>
    <n v="6"/>
  </r>
  <r>
    <x v="14"/>
    <s v="NFC"/>
    <s v="West"/>
    <n v="16"/>
    <n v="5"/>
    <n v="8"/>
  </r>
  <r>
    <x v="15"/>
    <s v="AFC"/>
    <s v="West"/>
    <n v="10"/>
    <n v="8"/>
    <n v="5"/>
  </r>
  <r>
    <x v="16"/>
    <s v="NFC"/>
    <s v="East"/>
    <n v="7"/>
    <n v="10"/>
    <n v="3"/>
  </r>
  <r>
    <x v="17"/>
    <s v="AFC"/>
    <s v="East"/>
    <n v="12"/>
    <n v="7"/>
    <n v="7"/>
  </r>
  <r>
    <x v="18"/>
    <s v="NFC"/>
    <s v="North"/>
    <n v="6"/>
    <n v="11"/>
    <n v="3"/>
  </r>
  <r>
    <x v="19"/>
    <s v="AFC"/>
    <s v="North"/>
    <n v="8"/>
    <n v="9"/>
    <n v="6"/>
  </r>
  <r>
    <x v="20"/>
    <s v="AFC"/>
    <s v="East"/>
    <n v="10"/>
    <n v="8"/>
    <n v="4"/>
  </r>
  <r>
    <x v="21"/>
    <s v="NFC"/>
    <s v="East"/>
    <n v="12"/>
    <n v="6"/>
    <n v="5"/>
  </r>
  <r>
    <x v="22"/>
    <s v="AFC"/>
    <s v="South"/>
    <n v="12"/>
    <n v="6"/>
    <n v="7"/>
  </r>
  <r>
    <x v="23"/>
    <s v="AFC"/>
    <s v="North"/>
    <n v="8"/>
    <n v="9"/>
    <n v="5"/>
  </r>
  <r>
    <x v="24"/>
    <s v="NFC"/>
    <s v="North"/>
    <n v="13"/>
    <n v="5"/>
    <n v="8"/>
  </r>
  <r>
    <x v="25"/>
    <s v="NFC"/>
    <s v="South"/>
    <n v="7"/>
    <n v="10"/>
    <n v="2"/>
  </r>
  <r>
    <x v="26"/>
    <s v="NFC"/>
    <s v="North"/>
    <n v="8"/>
    <n v="9"/>
    <n v="5"/>
  </r>
  <r>
    <x v="27"/>
    <s v="AFC"/>
    <s v="South"/>
    <n v="9"/>
    <n v="8"/>
    <n v="4"/>
  </r>
  <r>
    <x v="28"/>
    <s v="NFC"/>
    <s v="East"/>
    <n v="4"/>
    <n v="13"/>
    <n v="3"/>
  </r>
  <r>
    <x v="29"/>
    <s v="AFC"/>
    <s v="East"/>
    <n v="4"/>
    <n v="13"/>
    <n v="3"/>
  </r>
  <r>
    <x v="30"/>
    <s v="AFC"/>
    <s v="South"/>
    <n v="3"/>
    <n v="14"/>
    <n v="3"/>
  </r>
  <r>
    <x v="31"/>
    <s v="NFC"/>
    <s v="North"/>
    <n v="3"/>
    <n v="14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s v="South"/>
    <n v="14"/>
    <n v="5"/>
    <n v="8"/>
    <n v="2"/>
    <n v="6"/>
    <n v="3"/>
    <n v="569"/>
    <n v="29.94736842105263"/>
    <n v="398"/>
    <n v="20.94736842105263"/>
    <n v="171"/>
    <n v="9"/>
    <n v="7609"/>
    <n v="6402"/>
    <n v="400.4736842105263"/>
    <n v="336.94736842105266"/>
    <n v="1207"/>
    <n v="472"/>
    <n v="33.714285714285715"/>
    <n v="260"/>
    <n v="18.571428571428573"/>
    <n v="212"/>
    <n v="15.142857142857142"/>
    <n v="97"/>
    <n v="19.399999999999999"/>
    <n v="138"/>
    <n v="27.6"/>
    <n v="-41"/>
    <n v="-8.2000000000000028"/>
    <n v="2"/>
    <n v="-3"/>
    <n v="35"/>
    <n v="-10"/>
    <n v="48"/>
    <n v="0"/>
    <n v="558"/>
    <n v="273"/>
    <n v="414.85714285714283"/>
    <n v="333.85714285714283"/>
    <n v="81"/>
    <n v="360.2"/>
    <n v="345.6"/>
    <n v="14.599999999999966"/>
    <n v="32.4"/>
    <n v="404.7"/>
    <n v="27.222222222222221"/>
    <n v="395.77777777777777"/>
  </r>
  <r>
    <x v="1"/>
    <x v="0"/>
    <s v="East"/>
    <n v="9"/>
    <n v="9"/>
    <n v="3"/>
    <n v="5"/>
    <n v="6"/>
    <n v="4"/>
    <n v="459"/>
    <n v="25.5"/>
    <n v="416"/>
    <n v="23.111111111111111"/>
    <n v="43"/>
    <n v="2.3888888888888888"/>
    <n v="6458"/>
    <n v="5939"/>
    <n v="358.77777777777777"/>
    <n v="329.94444444444446"/>
    <n v="519"/>
    <n v="281"/>
    <n v="31.222222222222221"/>
    <n v="133"/>
    <n v="14.777777777777779"/>
    <n v="148"/>
    <n v="16.444444444444443"/>
    <n v="178"/>
    <n v="19.777777777777779"/>
    <n v="283"/>
    <n v="31.444444444444443"/>
    <n v="-105"/>
    <n v="-11.666666666666664"/>
    <n v="3"/>
    <n v="-3"/>
    <n v="38"/>
    <n v="-25"/>
    <n v="44"/>
    <n v="7"/>
    <n v="519"/>
    <n v="213"/>
    <n v="379.33333333333331"/>
    <n v="267.55555555555554"/>
    <n v="111.77777777777777"/>
    <n v="338.22222222222223"/>
    <n v="392.33333333333331"/>
    <n v="-54.111111111111086"/>
    <n v="26.75"/>
    <n v="358.875"/>
    <n v="24.5"/>
    <n v="358.7"/>
  </r>
  <r>
    <x v="2"/>
    <x v="1"/>
    <s v="North"/>
    <n v="10"/>
    <n v="8"/>
    <n v="7"/>
    <n v="2"/>
    <n v="3"/>
    <n v="6"/>
    <n v="364"/>
    <n v="20.222222222222221"/>
    <n v="440"/>
    <n v="24.444444444444443"/>
    <n v="-76"/>
    <n v="-4.2222222222222223"/>
    <n v="5618"/>
    <n v="6617"/>
    <n v="312.11111111111109"/>
    <n v="367.61111111111109"/>
    <n v="-999"/>
    <n v="214"/>
    <n v="21.4"/>
    <n v="167"/>
    <n v="16.7"/>
    <n v="47"/>
    <n v="4.6999999999999993"/>
    <n v="150"/>
    <n v="18.75"/>
    <n v="273"/>
    <n v="34.125"/>
    <n v="-123"/>
    <n v="-15.375"/>
    <n v="1"/>
    <n v="-4"/>
    <n v="12"/>
    <n v="-31"/>
    <n v="29"/>
    <n v="10"/>
    <n v="391"/>
    <n v="168"/>
    <n v="312.7"/>
    <n v="333.7"/>
    <n v="-21"/>
    <n v="311.375"/>
    <n v="410"/>
    <n v="-98.625"/>
    <n v="20.777777777777779"/>
    <n v="318.22222222222223"/>
    <n v="19.666666666666668"/>
    <n v="306"/>
  </r>
  <r>
    <x v="3"/>
    <x v="0"/>
    <s v="South"/>
    <n v="5"/>
    <n v="12"/>
    <n v="2"/>
    <n v="6"/>
    <n v="3"/>
    <n v="6"/>
    <n v="304"/>
    <n v="17.882352941176471"/>
    <n v="404"/>
    <n v="23.764705882352942"/>
    <n v="-100"/>
    <n v="-5.882352941176471"/>
    <n v="5081"/>
    <n v="5201"/>
    <n v="298.88235294117646"/>
    <n v="305.94117647058823"/>
    <n v="-120"/>
    <n v="122"/>
    <n v="24.4"/>
    <n v="53"/>
    <n v="10.6"/>
    <n v="69"/>
    <n v="13.799999999999999"/>
    <n v="182"/>
    <n v="15.166666666666666"/>
    <n v="351"/>
    <n v="29.25"/>
    <n v="-169"/>
    <n v="-14.083333333333334"/>
    <n v="5"/>
    <n v="-3"/>
    <n v="24"/>
    <n v="-26"/>
    <n v="34"/>
    <n v="3"/>
    <n v="407"/>
    <n v="173"/>
    <n v="368.8"/>
    <n v="191"/>
    <n v="177.8"/>
    <n v="269.75"/>
    <n v="353.83333333333331"/>
    <n v="-84.083333333333314"/>
    <n v="18.125"/>
    <n v="310.125"/>
    <n v="17.666666666666668"/>
    <n v="288.88888888888891"/>
  </r>
  <r>
    <x v="4"/>
    <x v="1"/>
    <s v="North"/>
    <n v="13"/>
    <n v="8"/>
    <n v="6"/>
    <n v="4"/>
    <n v="7"/>
    <n v="4"/>
    <n v="552"/>
    <n v="26.285714285714285"/>
    <n v="458"/>
    <n v="21.80952380952381"/>
    <n v="94"/>
    <n v="4.4761904761904763"/>
    <n v="7462"/>
    <n v="7390"/>
    <n v="355.33333333333331"/>
    <n v="351.90476190476193"/>
    <n v="72"/>
    <n v="385"/>
    <n v="29.615384615384617"/>
    <n v="227"/>
    <n v="17.46153846153846"/>
    <n v="158"/>
    <n v="12.153846153846157"/>
    <n v="167"/>
    <n v="20.875"/>
    <n v="231"/>
    <n v="28.875"/>
    <n v="-64"/>
    <n v="-8"/>
    <n v="3"/>
    <n v="-3"/>
    <n v="31"/>
    <n v="-25"/>
    <n v="41"/>
    <n v="15"/>
    <n v="575"/>
    <n v="182"/>
    <n v="380.07692307692309"/>
    <n v="341.46153846153845"/>
    <n v="38.615384615384642"/>
    <n v="315.125"/>
    <n v="368.875"/>
    <n v="-53.75"/>
    <n v="27.6"/>
    <n v="398.2"/>
    <n v="25.09090909090909"/>
    <n v="316.36363636363637"/>
  </r>
  <r>
    <x v="5"/>
    <x v="0"/>
    <s v="West"/>
    <n v="7"/>
    <n v="10"/>
    <n v="3"/>
    <n v="5"/>
    <n v="4"/>
    <n v="5"/>
    <n v="395"/>
    <n v="23.235294117647058"/>
    <n v="366"/>
    <n v="21.529411764705884"/>
    <n v="29"/>
    <n v="1.7058823529411764"/>
    <n v="5506"/>
    <n v="6445"/>
    <n v="323.88235294117646"/>
    <n v="379.11764705882354"/>
    <n v="-939"/>
    <n v="239"/>
    <n v="34.142857142857146"/>
    <n v="139"/>
    <n v="19.857142857142858"/>
    <n v="100"/>
    <n v="14.285714285714288"/>
    <n v="156"/>
    <n v="15.6"/>
    <n v="227"/>
    <n v="22.7"/>
    <n v="-71"/>
    <n v="-7.1"/>
    <n v="7"/>
    <n v="-1"/>
    <n v="24"/>
    <n v="-17"/>
    <n v="51"/>
    <n v="0"/>
    <n v="497"/>
    <n v="208"/>
    <n v="364.57142857142856"/>
    <n v="358.42857142857144"/>
    <n v="6.1428571428571104"/>
    <n v="295.39999999999998"/>
    <n v="393.6"/>
    <n v="-98.200000000000045"/>
    <n v="25.75"/>
    <n v="327.5"/>
    <n v="21"/>
    <n v="320.66666666666669"/>
  </r>
  <r>
    <x v="6"/>
    <x v="0"/>
    <s v="West"/>
    <n v="11"/>
    <n v="7"/>
    <n v="3"/>
    <n v="5"/>
    <n v="8"/>
    <n v="2"/>
    <n v="460"/>
    <n v="25.555555555555557"/>
    <n v="400"/>
    <n v="22.222222222222221"/>
    <n v="60"/>
    <n v="3.3333333333333335"/>
    <n v="6535"/>
    <n v="5972"/>
    <n v="363.05555555555554"/>
    <n v="331.77777777777777"/>
    <n v="563"/>
    <n v="337"/>
    <n v="30.636363636363637"/>
    <n v="188"/>
    <n v="17.09090909090909"/>
    <n v="149"/>
    <n v="13.545454545454547"/>
    <n v="123"/>
    <n v="17.571428571428573"/>
    <n v="212"/>
    <n v="30.285714285714285"/>
    <n v="-89"/>
    <n v="-12.714285714285712"/>
    <n v="1"/>
    <n v="-3"/>
    <n v="26"/>
    <n v="-24"/>
    <n v="38"/>
    <n v="10"/>
    <n v="474"/>
    <n v="169"/>
    <n v="392.81818181818181"/>
    <n v="313.63636363636363"/>
    <n v="79.181818181818187"/>
    <n v="316.28571428571428"/>
    <n v="360.28571428571428"/>
    <n v="-44"/>
    <n v="22.75"/>
    <n v="351"/>
    <n v="27.8"/>
    <n v="372.7"/>
  </r>
  <r>
    <x v="7"/>
    <x v="0"/>
    <s v="West"/>
    <n v="12"/>
    <n v="8"/>
    <n v="4"/>
    <n v="4"/>
    <n v="8"/>
    <n v="4"/>
    <n v="480"/>
    <n v="24"/>
    <n v="412"/>
    <n v="20.6"/>
    <n v="68"/>
    <n v="3.4"/>
    <n v="7222"/>
    <n v="6236"/>
    <n v="361.1"/>
    <n v="311.8"/>
    <n v="986"/>
    <n v="329"/>
    <n v="27.416666666666668"/>
    <n v="206"/>
    <n v="17.166666666666668"/>
    <n v="123"/>
    <n v="10.25"/>
    <n v="151"/>
    <n v="18.875"/>
    <n v="206"/>
    <n v="25.75"/>
    <n v="-55"/>
    <n v="-6.875"/>
    <n v="3"/>
    <n v="-2"/>
    <n v="21"/>
    <n v="-14"/>
    <n v="41"/>
    <n v="10"/>
    <n v="467"/>
    <n v="212"/>
    <n v="373"/>
    <n v="301"/>
    <n v="72"/>
    <n v="343.25"/>
    <n v="328"/>
    <n v="15.25"/>
    <n v="25.375"/>
    <n v="367.875"/>
    <n v="23.083333333333332"/>
    <n v="356.58333333333331"/>
  </r>
  <r>
    <x v="8"/>
    <x v="1"/>
    <s v="South"/>
    <n v="4"/>
    <n v="13"/>
    <n v="2"/>
    <n v="7"/>
    <n v="2"/>
    <n v="6"/>
    <n v="280"/>
    <n v="16.470588235294116"/>
    <n v="452"/>
    <n v="26.588235294117649"/>
    <n v="-172"/>
    <n v="-10.117647058823529"/>
    <n v="4727"/>
    <n v="6535"/>
    <n v="278.05882352941177"/>
    <n v="384.41176470588238"/>
    <n v="-1808"/>
    <n v="130"/>
    <n v="32.5"/>
    <n v="79"/>
    <n v="19.75"/>
    <n v="51"/>
    <n v="12.75"/>
    <n v="150"/>
    <n v="11.538461538461538"/>
    <n v="373"/>
    <n v="28.692307692307693"/>
    <n v="-223"/>
    <n v="-17.153846153846153"/>
    <n v="9"/>
    <n v="-3"/>
    <n v="16"/>
    <n v="-40"/>
    <n v="41"/>
    <n v="0"/>
    <n v="449"/>
    <n v="109"/>
    <n v="339.25"/>
    <n v="382"/>
    <n v="-42.75"/>
    <n v="259.23076923076923"/>
    <n v="385.15384615384613"/>
    <n v="-125.92307692307691"/>
    <n v="20.333333333333332"/>
    <n v="315.33333333333331"/>
    <n v="12.125"/>
    <n v="236.125"/>
  </r>
  <r>
    <x v="9"/>
    <x v="1"/>
    <s v="West"/>
    <n v="9"/>
    <n v="8"/>
    <n v="5"/>
    <n v="4"/>
    <n v="4"/>
    <n v="4"/>
    <n v="474"/>
    <n v="27.882352941176471"/>
    <n v="459"/>
    <n v="27"/>
    <n v="15"/>
    <n v="0.88235294117647056"/>
    <n v="6634"/>
    <n v="6122"/>
    <n v="390.23529411764707"/>
    <n v="360.11764705882354"/>
    <n v="512"/>
    <n v="305"/>
    <n v="33.888888888888886"/>
    <n v="213"/>
    <n v="23.666666666666668"/>
    <n v="92"/>
    <n v="10.222222222222218"/>
    <n v="169"/>
    <n v="21.125"/>
    <n v="246"/>
    <n v="30.75"/>
    <n v="-77"/>
    <n v="-9.625"/>
    <n v="3"/>
    <n v="-3"/>
    <n v="21"/>
    <n v="-28"/>
    <n v="47"/>
    <n v="6"/>
    <n v="533"/>
    <n v="208"/>
    <n v="417.11111111111109"/>
    <n v="340.22222222222223"/>
    <n v="76.888888888888857"/>
    <n v="360"/>
    <n v="382.5"/>
    <n v="-22.5"/>
    <n v="30.666666666666668"/>
    <n v="403.11111111111109"/>
    <n v="24.75"/>
    <n v="375.75"/>
  </r>
  <r>
    <x v="10"/>
    <x v="1"/>
    <s v="West"/>
    <n v="14"/>
    <n v="6"/>
    <n v="9"/>
    <n v="3"/>
    <n v="5"/>
    <n v="3"/>
    <n v="588"/>
    <n v="29.4"/>
    <n v="448"/>
    <n v="22.4"/>
    <n v="140"/>
    <n v="7"/>
    <n v="8151"/>
    <n v="7310"/>
    <n v="407.55"/>
    <n v="365.5"/>
    <n v="841"/>
    <n v="451"/>
    <n v="32.214285714285715"/>
    <n v="256"/>
    <n v="18.285714285714285"/>
    <n v="195"/>
    <n v="13.928571428571431"/>
    <n v="137"/>
    <n v="22.833333333333332"/>
    <n v="192"/>
    <n v="32"/>
    <n v="-55"/>
    <n v="-9.1666666666666679"/>
    <n v="3"/>
    <n v="-1"/>
    <n v="39"/>
    <n v="-24"/>
    <n v="48"/>
    <n v="3"/>
    <n v="552"/>
    <n v="237"/>
    <n v="413.85714285714283"/>
    <n v="345.57142857142856"/>
    <n v="68.285714285714278"/>
    <n v="392.83333333333331"/>
    <n v="412"/>
    <n v="-19.166666666666686"/>
    <n v="28.583333333333332"/>
    <n v="385.5"/>
    <n v="30.625"/>
    <n v="440.625"/>
  </r>
  <r>
    <x v="11"/>
    <x v="1"/>
    <s v="West"/>
    <n v="7"/>
    <n v="10"/>
    <n v="4"/>
    <n v="5"/>
    <n v="3"/>
    <n v="5"/>
    <n v="335"/>
    <n v="19.705882352941178"/>
    <n v="322"/>
    <n v="18.941176470588236"/>
    <n v="13"/>
    <n v="0.76470588235294112"/>
    <n v="5618"/>
    <n v="5544"/>
    <n v="330.47058823529414"/>
    <n v="326.11764705882354"/>
    <n v="74"/>
    <n v="189"/>
    <n v="27"/>
    <n v="75"/>
    <n v="10.714285714285714"/>
    <n v="114"/>
    <n v="16.285714285714285"/>
    <n v="146"/>
    <n v="14.6"/>
    <n v="247"/>
    <n v="24.7"/>
    <n v="-101"/>
    <n v="-10.1"/>
    <n v="7"/>
    <n v="-3"/>
    <n v="28"/>
    <n v="-21"/>
    <n v="38"/>
    <n v="7"/>
    <n v="421"/>
    <n v="158"/>
    <n v="357.28571428571428"/>
    <n v="281.42857142857144"/>
    <n v="75.857142857142833"/>
    <n v="311.7"/>
    <n v="357.4"/>
    <n v="-45.699999999999989"/>
    <n v="20.777777777777779"/>
    <n v="323.88888888888891"/>
    <n v="18.5"/>
    <n v="337.875"/>
  </r>
  <r>
    <x v="12"/>
    <x v="0"/>
    <s v="South"/>
    <n v="9"/>
    <n v="8"/>
    <n v="3"/>
    <n v="5"/>
    <n v="6"/>
    <n v="3"/>
    <n v="364"/>
    <n v="21.411764705882351"/>
    <n v="335"/>
    <n v="19.705882352941178"/>
    <n v="29"/>
    <n v="1.7058823529411764"/>
    <n v="5177"/>
    <n v="5410"/>
    <n v="304.52941176470586"/>
    <n v="318.23529411764707"/>
    <n v="-233"/>
    <n v="235"/>
    <n v="26.111111111111111"/>
    <n v="114"/>
    <n v="12.666666666666666"/>
    <n v="121"/>
    <n v="13.444444444444445"/>
    <n v="129"/>
    <n v="16.125"/>
    <n v="221"/>
    <n v="27.625"/>
    <n v="-92"/>
    <n v="-11.5"/>
    <n v="3"/>
    <n v="-2"/>
    <n v="35"/>
    <n v="-25"/>
    <n v="38"/>
    <n v="3"/>
    <n v="405"/>
    <n v="128"/>
    <n v="312.55555555555554"/>
    <n v="281.66666666666669"/>
    <n v="30.888888888888857"/>
    <n v="295.5"/>
    <n v="359.375"/>
    <n v="-63.875"/>
    <n v="20.5"/>
    <n v="312.875"/>
    <n v="22.222222222222221"/>
    <n v="297.11111111111109"/>
  </r>
  <r>
    <x v="13"/>
    <x v="1"/>
    <s v="East"/>
    <n v="9"/>
    <n v="8"/>
    <n v="6"/>
    <n v="3"/>
    <n v="3"/>
    <n v="5"/>
    <n v="341"/>
    <n v="20.058823529411764"/>
    <n v="373"/>
    <n v="21.941176470588236"/>
    <n v="-32"/>
    <n v="-1.8823529411764706"/>
    <n v="5226"/>
    <n v="5738"/>
    <n v="307.41176470588238"/>
    <n v="337.52941176470586"/>
    <n v="-512"/>
    <n v="217"/>
    <n v="24.111111111111111"/>
    <n v="122"/>
    <n v="13.555555555555555"/>
    <n v="95"/>
    <n v="10.555555555555555"/>
    <n v="124"/>
    <n v="15.5"/>
    <n v="251"/>
    <n v="31.375"/>
    <n v="-127"/>
    <n v="-15.875"/>
    <n v="1"/>
    <n v="-2"/>
    <n v="23"/>
    <n v="-35"/>
    <n v="33"/>
    <n v="0"/>
    <n v="431"/>
    <n v="203"/>
    <n v="311.88888888888891"/>
    <n v="285.33333333333331"/>
    <n v="26.5555555555556"/>
    <n v="302.375"/>
    <n v="396.25"/>
    <n v="-93.875"/>
    <n v="22.333333333333332"/>
    <n v="304.44444444444446"/>
    <n v="17.5"/>
    <n v="310.75"/>
  </r>
  <r>
    <x v="14"/>
    <x v="0"/>
    <s v="West"/>
    <n v="16"/>
    <n v="5"/>
    <n v="8"/>
    <n v="3"/>
    <n v="8"/>
    <n v="2"/>
    <n v="567"/>
    <n v="27"/>
    <n v="447"/>
    <n v="21.285714285714285"/>
    <n v="120"/>
    <n v="5.7142857142857144"/>
    <n v="7837"/>
    <n v="6992"/>
    <n v="373.1904761904762"/>
    <n v="332.95238095238096"/>
    <n v="845"/>
    <n v="469"/>
    <n v="29.3125"/>
    <n v="288"/>
    <n v="18"/>
    <n v="181"/>
    <n v="11.3125"/>
    <n v="98"/>
    <n v="19.600000000000001"/>
    <n v="159"/>
    <n v="31.8"/>
    <n v="-61"/>
    <n v="-12.2"/>
    <n v="1"/>
    <n v="-3"/>
    <n v="30"/>
    <n v="-21"/>
    <n v="38"/>
    <n v="10"/>
    <n v="476"/>
    <n v="265"/>
    <n v="387.0625"/>
    <n v="321.875"/>
    <n v="65.1875"/>
    <n v="328.8"/>
    <n v="368.4"/>
    <n v="-39.599999999999966"/>
    <n v="26.363636363636363"/>
    <n v="364.90909090909093"/>
    <n v="27.7"/>
    <n v="382.3"/>
  </r>
  <r>
    <x v="15"/>
    <x v="1"/>
    <s v="West"/>
    <n v="10"/>
    <n v="8"/>
    <n v="5"/>
    <n v="4"/>
    <n v="5"/>
    <n v="4"/>
    <n v="393"/>
    <n v="21.833333333333332"/>
    <n v="465"/>
    <n v="25.833333333333332"/>
    <n v="-72"/>
    <n v="-4"/>
    <n v="6569"/>
    <n v="6040"/>
    <n v="364.94444444444446"/>
    <n v="335.55555555555554"/>
    <n v="529"/>
    <n v="284"/>
    <n v="28.4"/>
    <n v="230"/>
    <n v="23"/>
    <n v="54"/>
    <n v="5.3999999999999986"/>
    <n v="109"/>
    <n v="13.625"/>
    <n v="235"/>
    <n v="29.375"/>
    <n v="-126"/>
    <n v="-15.75"/>
    <n v="2"/>
    <n v="-2"/>
    <n v="11"/>
    <n v="-39"/>
    <n v="36"/>
    <n v="9"/>
    <n v="509"/>
    <n v="213"/>
    <n v="413.2"/>
    <n v="337.9"/>
    <n v="75.300000000000011"/>
    <n v="304.625"/>
    <n v="332.625"/>
    <n v="-28"/>
    <n v="22.222222222222221"/>
    <n v="362.66666666666669"/>
    <n v="21.444444444444443"/>
    <n v="367.22222222222223"/>
  </r>
  <r>
    <x v="16"/>
    <x v="0"/>
    <s v="East"/>
    <n v="7"/>
    <n v="10"/>
    <n v="3"/>
    <n v="5"/>
    <n v="4"/>
    <n v="5"/>
    <n v="335"/>
    <n v="19.705882352941178"/>
    <n v="434"/>
    <n v="25.529411764705884"/>
    <n v="-99"/>
    <n v="-5.8235294117647056"/>
    <n v="5502"/>
    <n v="6108"/>
    <n v="323.64705882352939"/>
    <n v="359.29411764705884"/>
    <n v="-606"/>
    <n v="176"/>
    <n v="25.142857142857142"/>
    <n v="136"/>
    <n v="19.428571428571427"/>
    <n v="40"/>
    <n v="5.7142857142857153"/>
    <n v="159"/>
    <n v="15.9"/>
    <n v="298"/>
    <n v="29.8"/>
    <n v="-139"/>
    <n v="-13.9"/>
    <n v="1"/>
    <n v="-4"/>
    <n v="15"/>
    <n v="-42"/>
    <n v="34"/>
    <n v="10"/>
    <n v="430"/>
    <n v="224"/>
    <n v="357.42857142857144"/>
    <n v="298.42857142857144"/>
    <n v="59"/>
    <n v="300"/>
    <n v="401.9"/>
    <n v="-101.89999999999998"/>
    <n v="20.375"/>
    <n v="317.75"/>
    <n v="19.111111111111111"/>
    <n v="328.88888888888891"/>
  </r>
  <r>
    <x v="17"/>
    <x v="1"/>
    <s v="East"/>
    <n v="12"/>
    <n v="7"/>
    <n v="7"/>
    <n v="3"/>
    <n v="5"/>
    <n v="4"/>
    <n v="566"/>
    <n v="29.789473684210527"/>
    <n v="348"/>
    <n v="18.315789473684209"/>
    <n v="218"/>
    <n v="11.473684210526315"/>
    <n v="7397"/>
    <n v="5501"/>
    <n v="389.31578947368422"/>
    <n v="289.5263157894737"/>
    <n v="1896"/>
    <n v="425"/>
    <n v="35.416666666666664"/>
    <n v="152"/>
    <n v="12.666666666666666"/>
    <n v="273"/>
    <n v="22.75"/>
    <n v="141"/>
    <n v="20.142857142857142"/>
    <n v="196"/>
    <n v="28"/>
    <n v="-55"/>
    <n v="-7.8571428571428577"/>
    <n v="12"/>
    <n v="-3"/>
    <n v="40"/>
    <n v="-26"/>
    <n v="47"/>
    <n v="6"/>
    <n v="489"/>
    <n v="230"/>
    <n v="406.58333333333331"/>
    <n v="251.5"/>
    <n v="155.08333333333331"/>
    <n v="359.71428571428572"/>
    <n v="354.71428571428572"/>
    <n v="5"/>
    <n v="28.4"/>
    <n v="376.3"/>
    <n v="31.333333333333332"/>
    <n v="403.77777777777777"/>
  </r>
  <r>
    <x v="18"/>
    <x v="0"/>
    <s v="North"/>
    <n v="6"/>
    <n v="11"/>
    <n v="3"/>
    <n v="5"/>
    <n v="3"/>
    <n v="6"/>
    <n v="311"/>
    <n v="18.294117647058822"/>
    <n v="407"/>
    <n v="23.941176470588236"/>
    <n v="-96"/>
    <n v="-5.6470588235294121"/>
    <n v="5225"/>
    <n v="5384"/>
    <n v="307.35294117647061"/>
    <n v="316.70588235294116"/>
    <n v="-159"/>
    <n v="134"/>
    <n v="22.333333333333332"/>
    <n v="81"/>
    <n v="13.5"/>
    <n v="53"/>
    <n v="8.8333333333333321"/>
    <n v="177"/>
    <n v="16.09090909090909"/>
    <n v="326"/>
    <n v="29.636363636363637"/>
    <n v="-149"/>
    <n v="-13.545454545454547"/>
    <n v="1"/>
    <n v="-2"/>
    <n v="26"/>
    <n v="-35"/>
    <n v="29"/>
    <n v="3"/>
    <n v="414"/>
    <n v="47"/>
    <n v="295.83333333333331"/>
    <n v="263.83333333333331"/>
    <n v="32"/>
    <n v="313.63636363636363"/>
    <n v="345.54545454545456"/>
    <n v="-31.909090909090935"/>
    <n v="19.125"/>
    <n v="310.125"/>
    <n v="17.555555555555557"/>
    <n v="304.88888888888891"/>
  </r>
  <r>
    <x v="19"/>
    <x v="1"/>
    <s v="North"/>
    <n v="8"/>
    <n v="9"/>
    <n v="6"/>
    <n v="3"/>
    <n v="2"/>
    <n v="6"/>
    <n v="349"/>
    <n v="20.529411764705884"/>
    <n v="371"/>
    <n v="21.823529411764707"/>
    <n v="-22"/>
    <n v="-1.2941176470588236"/>
    <n v="5791"/>
    <n v="5296"/>
    <n v="340.64705882352939"/>
    <n v="311.52941176470586"/>
    <n v="495"/>
    <n v="187"/>
    <n v="23.375"/>
    <n v="112"/>
    <n v="14"/>
    <n v="75"/>
    <n v="9.375"/>
    <n v="162"/>
    <n v="18"/>
    <n v="259"/>
    <n v="28.777777777777779"/>
    <n v="-97"/>
    <n v="-10.777777777777779"/>
    <n v="2"/>
    <n v="-2"/>
    <n v="25"/>
    <n v="-38"/>
    <n v="41"/>
    <n v="7"/>
    <n v="531"/>
    <n v="217"/>
    <n v="356.5"/>
    <n v="248.875"/>
    <n v="107.625"/>
    <n v="326.55555555555554"/>
    <n v="367.22222222222223"/>
    <n v="-40.666666666666686"/>
    <n v="18.888888888888889"/>
    <n v="332.88888888888891"/>
    <n v="22.375"/>
    <n v="349.375"/>
  </r>
  <r>
    <x v="20"/>
    <x v="1"/>
    <s v="East"/>
    <n v="10"/>
    <n v="8"/>
    <n v="4"/>
    <n v="5"/>
    <n v="6"/>
    <n v="3"/>
    <n v="479"/>
    <n v="26.611111111111111"/>
    <n v="350"/>
    <n v="19.444444444444443"/>
    <n v="129"/>
    <n v="7.166666666666667"/>
    <n v="6313"/>
    <n v="5766"/>
    <n v="350.72222222222223"/>
    <n v="320.33333333333331"/>
    <n v="547"/>
    <n v="325"/>
    <n v="32.5"/>
    <n v="111"/>
    <n v="11.1"/>
    <n v="214"/>
    <n v="21.4"/>
    <n v="154"/>
    <n v="19.25"/>
    <n v="239"/>
    <n v="29.875"/>
    <n v="-85"/>
    <n v="-10.625"/>
    <n v="3"/>
    <n v="-1"/>
    <n v="41"/>
    <n v="-30"/>
    <n v="54"/>
    <n v="13"/>
    <n v="551"/>
    <n v="241"/>
    <n v="365.4"/>
    <n v="282.39999999999998"/>
    <n v="83"/>
    <n v="332.375"/>
    <n v="367.75"/>
    <n v="-35.375"/>
    <n v="31.222222222222221"/>
    <n v="386.44444444444446"/>
    <n v="22"/>
    <n v="315"/>
  </r>
  <r>
    <x v="21"/>
    <x v="0"/>
    <s v="East"/>
    <n v="12"/>
    <n v="6"/>
    <n v="5"/>
    <n v="4"/>
    <n v="7"/>
    <n v="2"/>
    <n v="547"/>
    <n v="30.388888888888889"/>
    <n v="381"/>
    <n v="21.166666666666668"/>
    <n v="166"/>
    <n v="9.2222222222222214"/>
    <n v="7226"/>
    <n v="6308"/>
    <n v="401.44444444444446"/>
    <n v="350.44444444444446"/>
    <n v="918"/>
    <n v="421"/>
    <n v="35.083333333333336"/>
    <n v="217"/>
    <n v="18.083333333333332"/>
    <n v="204"/>
    <n v="17.000000000000004"/>
    <n v="126"/>
    <n v="21"/>
    <n v="164"/>
    <n v="27.333333333333332"/>
    <n v="-38"/>
    <n v="-6.3333333333333321"/>
    <n v="3"/>
    <n v="-2"/>
    <n v="42"/>
    <n v="-14"/>
    <n v="56"/>
    <n v="9"/>
    <n v="567"/>
    <n v="276"/>
    <n v="430.33333333333331"/>
    <n v="320.91666666666669"/>
    <n v="109.41666666666663"/>
    <n v="343.66666666666669"/>
    <n v="409.5"/>
    <n v="-65.833333333333314"/>
    <n v="34.222222222222221"/>
    <n v="399"/>
    <n v="26.555555555555557"/>
    <n v="403.88888888888891"/>
  </r>
  <r>
    <x v="22"/>
    <x v="1"/>
    <s v="South"/>
    <n v="12"/>
    <n v="6"/>
    <n v="7"/>
    <n v="3"/>
    <n v="5"/>
    <n v="3"/>
    <n v="435"/>
    <n v="24.166666666666668"/>
    <n v="373"/>
    <n v="20.722222222222221"/>
    <n v="62"/>
    <n v="3.4444444444444446"/>
    <n v="6175"/>
    <n v="5952"/>
    <n v="343.05555555555554"/>
    <n v="330.66666666666669"/>
    <n v="223"/>
    <n v="343"/>
    <n v="28.583333333333332"/>
    <n v="212"/>
    <n v="17.666666666666668"/>
    <n v="131"/>
    <n v="10.916666666666664"/>
    <n v="92"/>
    <n v="15.333333333333334"/>
    <n v="161"/>
    <n v="26.833333333333332"/>
    <n v="-69"/>
    <n v="-11.499999999999998"/>
    <n v="2"/>
    <n v="-3"/>
    <n v="31"/>
    <n v="-25"/>
    <n v="37"/>
    <n v="13"/>
    <n v="532"/>
    <n v="194"/>
    <n v="337.58333333333331"/>
    <n v="340.33333333333331"/>
    <n v="-2.75"/>
    <n v="354"/>
    <n v="311.33333333333331"/>
    <n v="42.666666666666686"/>
    <n v="22.5"/>
    <n v="323.3"/>
    <n v="26.25"/>
    <n v="367.75"/>
  </r>
  <r>
    <x v="23"/>
    <x v="1"/>
    <s v="North"/>
    <n v="8"/>
    <n v="9"/>
    <n v="5"/>
    <n v="4"/>
    <n v="3"/>
    <n v="5"/>
    <n v="387"/>
    <n v="22.764705882352942"/>
    <n v="392"/>
    <n v="23.058823529411764"/>
    <n v="-5"/>
    <n v="-0.29411764705882354"/>
    <n v="6440"/>
    <n v="6178"/>
    <n v="378.8235294117647"/>
    <n v="363.41176470588238"/>
    <n v="262"/>
    <n v="209"/>
    <n v="26.125"/>
    <n v="144"/>
    <n v="18"/>
    <n v="65"/>
    <n v="8.125"/>
    <n v="178"/>
    <n v="19.777777777777779"/>
    <n v="248"/>
    <n v="27.555555555555557"/>
    <n v="-70"/>
    <n v="-7.7777777777777786"/>
    <n v="1"/>
    <n v="-1"/>
    <n v="28"/>
    <n v="-24"/>
    <n v="36"/>
    <n v="10"/>
    <n v="523"/>
    <n v="299"/>
    <n v="403.25"/>
    <n v="324.75"/>
    <n v="78.5"/>
    <n v="357.11111111111109"/>
    <n v="397.77777777777777"/>
    <n v="-40.666666666666686"/>
    <n v="25.555555555555557"/>
    <n v="398.77777777777777"/>
    <n v="19.625"/>
    <n v="356.375"/>
  </r>
  <r>
    <x v="24"/>
    <x v="0"/>
    <s v="North"/>
    <n v="13"/>
    <n v="5"/>
    <n v="8"/>
    <n v="1"/>
    <n v="5"/>
    <n v="4"/>
    <n v="460"/>
    <n v="25.555555555555557"/>
    <n v="384"/>
    <n v="21.333333333333332"/>
    <n v="76"/>
    <n v="4.2222222222222223"/>
    <n v="6478"/>
    <n v="5791"/>
    <n v="359.88888888888891"/>
    <n v="321.72222222222223"/>
    <n v="687"/>
    <n v="379"/>
    <n v="29.153846153846153"/>
    <n v="249"/>
    <n v="19.153846153846153"/>
    <n v="130"/>
    <n v="10"/>
    <n v="81"/>
    <n v="16.2"/>
    <n v="135"/>
    <n v="27"/>
    <n v="-54"/>
    <n v="-10.8"/>
    <n v="1"/>
    <n v="-3"/>
    <n v="27"/>
    <n v="-35"/>
    <n v="45"/>
    <n v="3"/>
    <n v="481"/>
    <n v="229"/>
    <n v="372.30769230769232"/>
    <n v="323.69230769230768"/>
    <n v="48.615384615384642"/>
    <n v="327.60000000000002"/>
    <n v="316.60000000000002"/>
    <n v="11"/>
    <n v="28.333333333333332"/>
    <n v="364.44444444444446"/>
    <n v="22.777777777777779"/>
    <n v="355.33333333333331"/>
  </r>
  <r>
    <x v="25"/>
    <x v="0"/>
    <s v="South"/>
    <n v="7"/>
    <n v="10"/>
    <n v="2"/>
    <n v="6"/>
    <n v="5"/>
    <n v="4"/>
    <n v="313"/>
    <n v="18.411764705882351"/>
    <n v="459"/>
    <n v="27"/>
    <n v="-146"/>
    <n v="-8.5882352941176467"/>
    <n v="5164"/>
    <n v="6194"/>
    <n v="303.76470588235293"/>
    <n v="364.35294117647061"/>
    <n v="-1030"/>
    <n v="171"/>
    <n v="24.428571428571427"/>
    <n v="138"/>
    <n v="19.714285714285715"/>
    <n v="33"/>
    <n v="4.7142857142857117"/>
    <n v="142"/>
    <n v="14.2"/>
    <n v="321"/>
    <n v="32.1"/>
    <n v="-179"/>
    <n v="-17.900000000000002"/>
    <n v="2"/>
    <n v="-4"/>
    <n v="8"/>
    <n v="-40"/>
    <n v="30"/>
    <n v="0"/>
    <n v="450"/>
    <n v="165"/>
    <n v="344.71428571428572"/>
    <n v="342"/>
    <n v="2.7142857142857224"/>
    <n v="275.10000000000002"/>
    <n v="380"/>
    <n v="-104.89999999999998"/>
    <n v="16.625"/>
    <n v="294.125"/>
    <n v="20"/>
    <n v="312.33333333333331"/>
  </r>
  <r>
    <x v="26"/>
    <x v="0"/>
    <s v="North"/>
    <n v="8"/>
    <n v="9"/>
    <n v="5"/>
    <n v="3"/>
    <n v="3"/>
    <n v="6"/>
    <n v="425"/>
    <n v="25"/>
    <n v="426"/>
    <n v="25.058823529411764"/>
    <n v="-1"/>
    <n v="-5.8823529411764705E-2"/>
    <n v="6168"/>
    <n v="6522"/>
    <n v="362.8235294117647"/>
    <n v="383.64705882352939"/>
    <n v="-354"/>
    <n v="228"/>
    <n v="28.5"/>
    <n v="167"/>
    <n v="20.875"/>
    <n v="61"/>
    <n v="7.625"/>
    <n v="197"/>
    <n v="21.888888888888889"/>
    <n v="259"/>
    <n v="28.777777777777779"/>
    <n v="-62"/>
    <n v="-6.8888888888888893"/>
    <n v="2"/>
    <n v="-1"/>
    <n v="14"/>
    <n v="-27"/>
    <n v="36"/>
    <n v="7"/>
    <n v="571"/>
    <n v="193"/>
    <n v="397.375"/>
    <n v="350.5"/>
    <n v="46.875"/>
    <n v="332.11111111111109"/>
    <n v="413.11111111111109"/>
    <n v="-81"/>
    <n v="24.5"/>
    <n v="366"/>
    <n v="25.444444444444443"/>
    <n v="360"/>
  </r>
  <r>
    <x v="27"/>
    <x v="1"/>
    <s v="South"/>
    <n v="9"/>
    <n v="8"/>
    <n v="4"/>
    <n v="5"/>
    <n v="5"/>
    <n v="3"/>
    <n v="451"/>
    <n v="26.529411764705884"/>
    <n v="365"/>
    <n v="21.470588235294116"/>
    <n v="86"/>
    <n v="5.0588235294117645"/>
    <n v="5901"/>
    <n v="5834"/>
    <n v="347.11764705882354"/>
    <n v="343.1764705882353"/>
    <n v="67"/>
    <n v="277"/>
    <n v="30.777777777777779"/>
    <n v="133"/>
    <n v="14.777777777777779"/>
    <n v="144"/>
    <n v="16"/>
    <n v="174"/>
    <n v="21.75"/>
    <n v="232"/>
    <n v="29"/>
    <n v="-58"/>
    <n v="-7.25"/>
    <n v="6"/>
    <n v="-3"/>
    <n v="31"/>
    <n v="-15"/>
    <n v="45"/>
    <n v="11"/>
    <n v="532"/>
    <n v="233"/>
    <n v="359.88888888888891"/>
    <n v="316.44444444444446"/>
    <n v="43.444444444444457"/>
    <n v="332.75"/>
    <n v="373.25"/>
    <n v="-40.5"/>
    <n v="27.555555555555557"/>
    <n v="349"/>
    <n v="25.375"/>
    <n v="345"/>
  </r>
  <r>
    <x v="28"/>
    <x v="0"/>
    <s v="East"/>
    <n v="4"/>
    <n v="13"/>
    <n v="3"/>
    <n v="5"/>
    <n v="1"/>
    <n v="8"/>
    <n v="258"/>
    <n v="15.176470588235293"/>
    <n v="416"/>
    <n v="24.470588235294116"/>
    <n v="-158"/>
    <n v="-9.2941176470588243"/>
    <n v="4884"/>
    <n v="6032"/>
    <n v="287.29411764705884"/>
    <n v="354.8235294117647"/>
    <n v="-1148"/>
    <n v="88"/>
    <n v="22"/>
    <n v="47"/>
    <n v="11.75"/>
    <n v="41"/>
    <n v="10.25"/>
    <n v="170"/>
    <n v="13.076923076923077"/>
    <n v="369"/>
    <n v="28.384615384615383"/>
    <n v="-199"/>
    <n v="-15.307692307692307"/>
    <n v="6"/>
    <n v="-1"/>
    <n v="22"/>
    <n v="-27"/>
    <n v="27"/>
    <n v="3"/>
    <n v="485"/>
    <n v="155"/>
    <n v="324.5"/>
    <n v="328.25"/>
    <n v="-3.75"/>
    <n v="275.84615384615387"/>
    <n v="363"/>
    <n v="-87.153846153846132"/>
    <n v="14"/>
    <n v="276.625"/>
    <n v="16.222222222222221"/>
    <n v="296.77777777777777"/>
  </r>
  <r>
    <x v="29"/>
    <x v="1"/>
    <s v="East"/>
    <n v="4"/>
    <n v="13"/>
    <n v="3"/>
    <n v="6"/>
    <n v="1"/>
    <n v="7"/>
    <n v="310"/>
    <n v="18.235294117647058"/>
    <n v="504"/>
    <n v="29.647058823529413"/>
    <n v="-194"/>
    <n v="-11.411764705882353"/>
    <n v="5208"/>
    <n v="6760"/>
    <n v="306.35294117647061"/>
    <n v="397.64705882352939"/>
    <n v="-1552"/>
    <n v="108"/>
    <n v="27"/>
    <n v="90"/>
    <n v="22.5"/>
    <n v="18"/>
    <n v="4.5"/>
    <n v="202"/>
    <n v="15.538461538461538"/>
    <n v="414"/>
    <n v="31.846153846153847"/>
    <n v="-212"/>
    <n v="-16.307692307692307"/>
    <n v="3"/>
    <n v="-4"/>
    <n v="7"/>
    <n v="-41"/>
    <n v="34"/>
    <n v="0"/>
    <n v="511"/>
    <n v="53"/>
    <n v="376.25"/>
    <n v="333.5"/>
    <n v="42.75"/>
    <n v="284.84615384615387"/>
    <n v="417.38461538461536"/>
    <n v="-132.53846153846149"/>
    <n v="19.777777777777779"/>
    <n v="359.11111111111109"/>
    <n v="16.5"/>
    <n v="247"/>
  </r>
  <r>
    <x v="30"/>
    <x v="1"/>
    <s v="South"/>
    <n v="3"/>
    <n v="14"/>
    <n v="3"/>
    <n v="6"/>
    <n v="0"/>
    <n v="8"/>
    <n v="253"/>
    <n v="14.882352941176471"/>
    <n v="457"/>
    <n v="26.882352941176471"/>
    <n v="-204"/>
    <n v="-12"/>
    <n v="5191"/>
    <n v="6002"/>
    <n v="305.35294117647061"/>
    <n v="353.05882352941177"/>
    <n v="-811"/>
    <n v="58"/>
    <n v="19.333333333333332"/>
    <n v="37"/>
    <n v="12.333333333333334"/>
    <n v="21"/>
    <n v="6.9999999999999982"/>
    <n v="195"/>
    <n v="13.928571428571429"/>
    <n v="420"/>
    <n v="30"/>
    <n v="-225"/>
    <n v="-16.071428571428569"/>
    <n v="3"/>
    <n v="-3"/>
    <n v="15"/>
    <n v="-40"/>
    <n v="26"/>
    <n v="0"/>
    <n v="454"/>
    <n v="189"/>
    <n v="310.66666666666669"/>
    <n v="321.66666666666669"/>
    <n v="-11"/>
    <n v="304.21428571428572"/>
    <n v="359.78571428571428"/>
    <n v="-55.571428571428555"/>
    <n v="16.555555555555557"/>
    <n v="309.88888888888891"/>
    <n v="13"/>
    <n v="300.25"/>
  </r>
  <r>
    <x v="31"/>
    <x v="0"/>
    <s v="North"/>
    <n v="3"/>
    <n v="14"/>
    <n v="3"/>
    <n v="5"/>
    <n v="0"/>
    <n v="9"/>
    <n v="325"/>
    <n v="19.117647058823529"/>
    <n v="467"/>
    <n v="27.470588235294116"/>
    <n v="-142"/>
    <n v="-8.3529411764705888"/>
    <n v="5484"/>
    <n v="6456"/>
    <n v="322.58823529411762"/>
    <n v="379.76470588235293"/>
    <n v="-972"/>
    <n v="96"/>
    <n v="32"/>
    <n v="69"/>
    <n v="23"/>
    <n v="27"/>
    <n v="9"/>
    <n v="229"/>
    <n v="16.357142857142858"/>
    <n v="398"/>
    <n v="28.428571428571427"/>
    <n v="-169"/>
    <n v="-12.071428571428569"/>
    <n v="2"/>
    <n v="-2"/>
    <n v="18"/>
    <n v="-38"/>
    <n v="37"/>
    <n v="6"/>
    <n v="430"/>
    <n v="228"/>
    <n v="371.33333333333331"/>
    <n v="400.66666666666669"/>
    <n v="-29.333333333333371"/>
    <n v="312.14285714285717"/>
    <n v="375.28571428571428"/>
    <n v="-63.14285714285711"/>
    <n v="22.125"/>
    <n v="315.5"/>
    <n v="16.444444444444443"/>
    <n v="328.888888888888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479A6-4D10-4903-9986-1E105FE6FF9B}" name="PivotTable1" cacheId="2785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">
  <location ref="A2:C35" firstHeaderRow="0" firstDataRow="1" firstDataCol="1"/>
  <pivotFields count="6">
    <pivotField axis="axisRow" compact="0" outline="0" showAll="0" sortType="descending">
      <items count="33">
        <item x="6"/>
        <item x="25"/>
        <item x="23"/>
        <item x="17"/>
        <item x="3"/>
        <item x="18"/>
        <item x="4"/>
        <item x="19"/>
        <item x="21"/>
        <item x="11"/>
        <item x="31"/>
        <item x="24"/>
        <item x="8"/>
        <item x="27"/>
        <item x="30"/>
        <item x="10"/>
        <item x="15"/>
        <item x="9"/>
        <item x="14"/>
        <item x="13"/>
        <item x="26"/>
        <item x="20"/>
        <item x="12"/>
        <item x="28"/>
        <item x="29"/>
        <item x="1"/>
        <item x="2"/>
        <item x="7"/>
        <item x="5"/>
        <item x="0"/>
        <item x="2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33">
    <i>
      <x v="18"/>
    </i>
    <i>
      <x v="29"/>
    </i>
    <i>
      <x v="15"/>
    </i>
    <i>
      <x v="11"/>
    </i>
    <i>
      <x v="6"/>
    </i>
    <i>
      <x v="27"/>
    </i>
    <i>
      <x v="30"/>
    </i>
    <i>
      <x v="3"/>
    </i>
    <i>
      <x v="8"/>
    </i>
    <i>
      <x/>
    </i>
    <i>
      <x v="26"/>
    </i>
    <i>
      <x v="21"/>
    </i>
    <i>
      <x v="16"/>
    </i>
    <i>
      <x v="13"/>
    </i>
    <i>
      <x v="19"/>
    </i>
    <i>
      <x v="22"/>
    </i>
    <i>
      <x v="25"/>
    </i>
    <i>
      <x v="17"/>
    </i>
    <i>
      <x v="20"/>
    </i>
    <i>
      <x v="2"/>
    </i>
    <i>
      <x v="7"/>
    </i>
    <i>
      <x v="28"/>
    </i>
    <i>
      <x v="9"/>
    </i>
    <i>
      <x v="31"/>
    </i>
    <i>
      <x v="1"/>
    </i>
    <i>
      <x v="5"/>
    </i>
    <i>
      <x v="4"/>
    </i>
    <i>
      <x v="12"/>
    </i>
    <i>
      <x v="23"/>
    </i>
    <i>
      <x v="24"/>
    </i>
    <i>
      <x v="14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Wins" fld="3" baseField="0" baseItem="0"/>
    <dataField name="Sum of Total Los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24F59-FECC-49FD-89A9-90B332674B17}" name="PivotTable2" cacheId="2785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2:E34" firstHeaderRow="0" firstDataRow="1" firstDataCol="1"/>
  <pivotFields count="50">
    <pivotField axis="axisRow" compact="0" outline="0" showAll="0" sortType="descending">
      <items count="33">
        <item x="6"/>
        <item x="25"/>
        <item x="23"/>
        <item x="17"/>
        <item x="3"/>
        <item x="18"/>
        <item x="4"/>
        <item x="19"/>
        <item x="21"/>
        <item x="11"/>
        <item x="31"/>
        <item x="24"/>
        <item x="8"/>
        <item x="27"/>
        <item x="30"/>
        <item x="10"/>
        <item x="15"/>
        <item x="9"/>
        <item x="14"/>
        <item x="13"/>
        <item x="26"/>
        <item x="20"/>
        <item x="12"/>
        <item x="28"/>
        <item x="29"/>
        <item x="1"/>
        <item x="2"/>
        <item x="7"/>
        <item x="5"/>
        <item x="0"/>
        <item x="2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38" outline="0" showAll="0"/>
    <pivotField compact="0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165" outline="0" showAll="0"/>
    <pivotField compact="0" numFmtId="38" outline="0" showAll="0"/>
    <pivotField compact="0" numFmtId="165" outline="0" showAll="0"/>
    <pivotField compact="0" numFmtId="38" outline="0" showAll="0"/>
    <pivotField compact="0" numFmtId="165" outline="0" showAll="0"/>
    <pivotField compact="0" numFmtId="38" outline="0" showAll="0"/>
    <pivotField dataField="1" compact="0" numFmtId="38" outline="0" showAll="0"/>
    <pivotField dataField="1" compact="0" numFmtId="38" outline="0" showAll="0"/>
    <pivotField compact="0" numFmtId="38" outline="0" showAll="0"/>
    <pivotField dataField="1"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</pivotFields>
  <rowFields count="1">
    <field x="0"/>
  </rowFields>
  <rowItems count="32">
    <i>
      <x v="8"/>
    </i>
    <i>
      <x v="29"/>
    </i>
    <i>
      <x v="3"/>
    </i>
    <i>
      <x v="15"/>
    </i>
    <i>
      <x v="17"/>
    </i>
    <i>
      <x v="18"/>
    </i>
    <i>
      <x v="21"/>
    </i>
    <i>
      <x v="13"/>
    </i>
    <i>
      <x v="6"/>
    </i>
    <i>
      <x/>
    </i>
    <i>
      <x v="11"/>
    </i>
    <i>
      <x v="25"/>
    </i>
    <i>
      <x v="20"/>
    </i>
    <i>
      <x v="30"/>
    </i>
    <i>
      <x v="27"/>
    </i>
    <i>
      <x v="28"/>
    </i>
    <i>
      <x v="2"/>
    </i>
    <i>
      <x v="16"/>
    </i>
    <i>
      <x v="22"/>
    </i>
    <i>
      <x v="7"/>
    </i>
    <i>
      <x v="26"/>
    </i>
    <i>
      <x v="19"/>
    </i>
    <i>
      <x v="31"/>
    </i>
    <i>
      <x v="9"/>
    </i>
    <i>
      <x v="10"/>
    </i>
    <i>
      <x v="1"/>
    </i>
    <i>
      <x v="5"/>
    </i>
    <i>
      <x v="24"/>
    </i>
    <i>
      <x v="4"/>
    </i>
    <i>
      <x v="12"/>
    </i>
    <i>
      <x v="23"/>
    </i>
    <i>
      <x v="1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verage Points" fld="10" subtotal="average" baseField="0" baseItem="0" numFmtId="2"/>
    <dataField name="Sum of Most Points" fld="36" baseField="0" baseItem="0" numFmtId="38"/>
    <dataField name="Sum of Biggest Win" fld="34" baseField="0" baseItem="0"/>
    <dataField name="Sum of Closest Loss" fld="33" baseField="0" baseItem="0"/>
  </dataFields>
  <formats count="1">
    <format dxfId="856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A795B-41D7-445A-91A9-B50D0026197D}" name="Average Points Allowed" cacheId="27859" applyNumberFormats="0" applyBorderFormats="0" applyFontFormats="0" applyPatternFormats="0" applyAlignmentFormats="0" applyWidthHeightFormats="1" dataCaption="Values" updatedVersion="7" minRefreshableVersion="3" showDrill="0" useAutoFormatting="1" rowGrandTotals="0" colGrandTotals="0" itemPrintTitles="1" createdVersion="7" indent="0" compact="0" compactData="0" multipleFieldFilters="0">
  <location ref="A3:B35" firstHeaderRow="1" firstDataRow="1" firstDataCol="1"/>
  <pivotFields count="50">
    <pivotField axis="axisRow" compact="0" outline="0" showAll="0" sortType="ascending">
      <items count="33">
        <item x="6"/>
        <item x="25"/>
        <item x="23"/>
        <item x="17"/>
        <item x="3"/>
        <item x="18"/>
        <item x="4"/>
        <item x="19"/>
        <item x="21"/>
        <item x="11"/>
        <item x="31"/>
        <item x="24"/>
        <item x="8"/>
        <item x="27"/>
        <item x="30"/>
        <item x="10"/>
        <item x="15"/>
        <item x="9"/>
        <item x="14"/>
        <item x="13"/>
        <item x="26"/>
        <item x="20"/>
        <item x="12"/>
        <item x="28"/>
        <item x="29"/>
        <item x="1"/>
        <item x="2"/>
        <item x="7"/>
        <item x="5"/>
        <item x="0"/>
        <item x="2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38" outline="0" showAll="0"/>
    <pivotField compact="0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165" outline="0" showAll="0"/>
    <pivotField compact="0" numFmtId="38" outline="0" showAll="0"/>
    <pivotField compact="0" numFmtId="165" outline="0" showAll="0"/>
    <pivotField compact="0" numFmtId="38" outline="0" showAll="0"/>
    <pivotField compact="0" numFmtId="165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</pivotFields>
  <rowFields count="1">
    <field x="0"/>
  </rowFields>
  <rowItems count="32">
    <i>
      <x v="3"/>
    </i>
    <i>
      <x v="9"/>
    </i>
    <i>
      <x v="21"/>
    </i>
    <i>
      <x v="22"/>
    </i>
    <i>
      <x v="27"/>
    </i>
    <i>
      <x v="30"/>
    </i>
    <i>
      <x v="29"/>
    </i>
    <i>
      <x v="8"/>
    </i>
    <i>
      <x v="18"/>
    </i>
    <i>
      <x v="11"/>
    </i>
    <i>
      <x v="13"/>
    </i>
    <i>
      <x v="28"/>
    </i>
    <i>
      <x v="6"/>
    </i>
    <i>
      <x v="7"/>
    </i>
    <i>
      <x v="19"/>
    </i>
    <i>
      <x/>
    </i>
    <i>
      <x v="15"/>
    </i>
    <i>
      <x v="2"/>
    </i>
    <i>
      <x v="25"/>
    </i>
    <i>
      <x v="4"/>
    </i>
    <i>
      <x v="5"/>
    </i>
    <i>
      <x v="26"/>
    </i>
    <i>
      <x v="23"/>
    </i>
    <i>
      <x v="20"/>
    </i>
    <i>
      <x v="31"/>
    </i>
    <i>
      <x v="16"/>
    </i>
    <i>
      <x v="12"/>
    </i>
    <i>
      <x v="14"/>
    </i>
    <i>
      <x v="1"/>
    </i>
    <i>
      <x v="17"/>
    </i>
    <i>
      <x v="10"/>
    </i>
    <i>
      <x v="24"/>
    </i>
  </rowItems>
  <colItems count="1">
    <i/>
  </colItems>
  <dataFields count="1">
    <dataField name="Sum of Average Points Allowed" fld="12" baseField="0" baseItem="0" numFmtId="2"/>
  </dataFields>
  <formats count="1">
    <format dxfId="85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2E099-0E21-410C-B5C8-B04677C1EC7D}" name="PivotTable3" cacheId="27859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2:C34" firstHeaderRow="0" firstDataRow="1" firstDataCol="1"/>
  <pivotFields count="50">
    <pivotField axis="axisRow" compact="0" outline="0" showAll="0" sortType="descending">
      <items count="33">
        <item x="6"/>
        <item x="25"/>
        <item x="23"/>
        <item x="17"/>
        <item x="3"/>
        <item x="18"/>
        <item x="4"/>
        <item x="19"/>
        <item x="21"/>
        <item x="11"/>
        <item x="31"/>
        <item x="24"/>
        <item x="8"/>
        <item x="27"/>
        <item x="30"/>
        <item x="10"/>
        <item x="15"/>
        <item x="9"/>
        <item x="14"/>
        <item x="13"/>
        <item x="26"/>
        <item x="20"/>
        <item x="12"/>
        <item x="28"/>
        <item x="29"/>
        <item x="1"/>
        <item x="2"/>
        <item x="7"/>
        <item x="5"/>
        <item x="0"/>
        <item x="22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8" outline="0" showAll="0"/>
    <pivotField compact="0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165" outline="0" showAll="0"/>
    <pivotField compact="0" numFmtId="38" outline="0" showAll="0"/>
    <pivotField compact="0" numFmtId="165" outline="0" showAll="0"/>
    <pivotField compact="0" numFmtId="38" outline="0" showAll="0"/>
    <pivotField compact="0" numFmtId="165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compact="0" numFmtId="38" outline="0" showAll="0"/>
    <pivotField dataField="1" compact="0" numFmtId="38" outline="0" showAll="0"/>
    <pivotField compact="0" numFmtId="38" outline="0" showAll="0"/>
    <pivotField dataField="1" compact="0" numFmtId="38" outline="0" showAll="0"/>
    <pivotField compact="0" numFmtId="38" outline="0" showAll="0"/>
  </pivotFields>
  <rowFields count="1">
    <field x="0"/>
  </rowFields>
  <rowItems count="32">
    <i>
      <x v="8"/>
    </i>
    <i>
      <x v="29"/>
    </i>
    <i>
      <x v="21"/>
    </i>
    <i>
      <x v="17"/>
    </i>
    <i>
      <x v="15"/>
    </i>
    <i>
      <x v="3"/>
    </i>
    <i>
      <x v="11"/>
    </i>
    <i>
      <x v="6"/>
    </i>
    <i>
      <x v="13"/>
    </i>
    <i>
      <x v="25"/>
    </i>
    <i>
      <x v="18"/>
    </i>
    <i>
      <x v="28"/>
    </i>
    <i>
      <x v="2"/>
    </i>
    <i>
      <x v="27"/>
    </i>
    <i>
      <x v="20"/>
    </i>
    <i>
      <x/>
    </i>
    <i>
      <x v="30"/>
    </i>
    <i>
      <x v="19"/>
    </i>
    <i>
      <x v="16"/>
    </i>
    <i>
      <x v="10"/>
    </i>
    <i>
      <x v="26"/>
    </i>
    <i>
      <x v="9"/>
    </i>
    <i>
      <x v="22"/>
    </i>
    <i>
      <x v="31"/>
    </i>
    <i>
      <x v="12"/>
    </i>
    <i>
      <x v="24"/>
    </i>
    <i>
      <x v="5"/>
    </i>
    <i>
      <x v="7"/>
    </i>
    <i>
      <x v="4"/>
    </i>
    <i>
      <x v="1"/>
    </i>
    <i>
      <x v="14"/>
    </i>
    <i>
      <x v="23"/>
    </i>
  </rowItems>
  <colFields count="1">
    <field x="-2"/>
  </colFields>
  <colItems count="2">
    <i>
      <x/>
    </i>
    <i i="1">
      <x v="1"/>
    </i>
  </colItems>
  <dataFields count="2">
    <dataField name="Sum of Average Points @ Home" fld="46" baseField="0" baseItem="0"/>
    <dataField name="Sum of Average Points Away" fld="48" baseField="0" baseItem="0"/>
  </dataFields>
  <formats count="1">
    <format dxfId="854">
      <pivotArea outline="0" collapsedLevelsAreSubtotals="1" fieldPosition="0"/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86"/>
  <sheetViews>
    <sheetView tabSelected="1" workbookViewId="0">
      <pane ySplit="1" topLeftCell="F256" activePane="bottomLeft" state="frozen"/>
      <selection pane="bottomLeft" activeCell="R303" sqref="R303"/>
    </sheetView>
  </sheetViews>
  <sheetFormatPr defaultRowHeight="15"/>
  <cols>
    <col min="3" max="3" width="10.5703125" bestFit="1" customWidth="1"/>
    <col min="6" max="6" width="25" bestFit="1" customWidth="1"/>
    <col min="7" max="7" width="14.42578125" bestFit="1" customWidth="1"/>
    <col min="8" max="8" width="25" bestFit="1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 spans="1:15" hidden="1">
      <c r="A2" s="4">
        <v>1</v>
      </c>
      <c r="B2" s="5" t="s">
        <v>13</v>
      </c>
      <c r="C2" s="6">
        <v>44448</v>
      </c>
      <c r="D2" s="5" t="s">
        <v>14</v>
      </c>
      <c r="E2" s="5" t="s">
        <v>15</v>
      </c>
      <c r="F2" t="s">
        <v>16</v>
      </c>
      <c r="G2" s="5" t="s">
        <v>17</v>
      </c>
      <c r="H2" t="s">
        <v>18</v>
      </c>
      <c r="I2" s="7">
        <v>31</v>
      </c>
      <c r="J2" s="5">
        <v>29</v>
      </c>
      <c r="K2" s="5">
        <v>431</v>
      </c>
      <c r="L2" s="5">
        <v>4</v>
      </c>
      <c r="M2" s="5">
        <v>451</v>
      </c>
      <c r="N2" s="8">
        <v>1</v>
      </c>
      <c r="O2">
        <f>I2-J2</f>
        <v>2</v>
      </c>
    </row>
    <row r="3" spans="1:15">
      <c r="A3" s="4">
        <v>1</v>
      </c>
      <c r="B3" s="5" t="s">
        <v>19</v>
      </c>
      <c r="C3" s="6">
        <v>44451</v>
      </c>
      <c r="D3" s="5" t="s">
        <v>20</v>
      </c>
      <c r="E3" s="5" t="s">
        <v>17</v>
      </c>
      <c r="F3" t="s">
        <v>21</v>
      </c>
      <c r="G3" s="9" t="s">
        <v>15</v>
      </c>
      <c r="H3" t="s">
        <v>22</v>
      </c>
      <c r="I3" s="7">
        <v>32</v>
      </c>
      <c r="J3" s="5">
        <v>6</v>
      </c>
      <c r="K3" s="5">
        <v>434</v>
      </c>
      <c r="L3" s="5">
        <v>0</v>
      </c>
      <c r="M3" s="5">
        <v>260</v>
      </c>
      <c r="N3" s="8">
        <v>0</v>
      </c>
      <c r="O3">
        <f t="shared" ref="O3:O66" si="0">I3-J3</f>
        <v>26</v>
      </c>
    </row>
    <row r="4" spans="1:15" hidden="1">
      <c r="A4" s="4">
        <v>1</v>
      </c>
      <c r="B4" s="5" t="s">
        <v>19</v>
      </c>
      <c r="C4" s="6">
        <v>44451</v>
      </c>
      <c r="D4" s="5" t="s">
        <v>20</v>
      </c>
      <c r="E4" s="5" t="s">
        <v>17</v>
      </c>
      <c r="F4" t="s">
        <v>23</v>
      </c>
      <c r="G4" s="9" t="s">
        <v>15</v>
      </c>
      <c r="H4" t="s">
        <v>24</v>
      </c>
      <c r="I4" s="7">
        <v>23</v>
      </c>
      <c r="J4" s="5">
        <v>16</v>
      </c>
      <c r="K4" s="5">
        <v>252</v>
      </c>
      <c r="L4" s="5">
        <v>0</v>
      </c>
      <c r="M4" s="5">
        <v>371</v>
      </c>
      <c r="N4" s="8">
        <v>1</v>
      </c>
      <c r="O4">
        <f t="shared" si="0"/>
        <v>7</v>
      </c>
    </row>
    <row r="5" spans="1:15" hidden="1">
      <c r="A5" s="4">
        <v>1</v>
      </c>
      <c r="B5" s="5" t="s">
        <v>19</v>
      </c>
      <c r="C5" s="6">
        <v>44451</v>
      </c>
      <c r="D5" s="5" t="s">
        <v>20</v>
      </c>
      <c r="E5" s="5" t="s">
        <v>15</v>
      </c>
      <c r="F5" t="s">
        <v>25</v>
      </c>
      <c r="G5" s="5" t="s">
        <v>17</v>
      </c>
      <c r="H5" t="s">
        <v>26</v>
      </c>
      <c r="I5" s="7">
        <v>19</v>
      </c>
      <c r="J5" s="5">
        <v>14</v>
      </c>
      <c r="K5" s="5">
        <v>381</v>
      </c>
      <c r="L5" s="5">
        <v>1</v>
      </c>
      <c r="M5" s="5">
        <v>252</v>
      </c>
      <c r="N5" s="8">
        <v>1</v>
      </c>
      <c r="O5">
        <f t="shared" si="0"/>
        <v>5</v>
      </c>
    </row>
    <row r="6" spans="1:15" hidden="1">
      <c r="A6" s="4">
        <v>1</v>
      </c>
      <c r="B6" s="5" t="s">
        <v>19</v>
      </c>
      <c r="C6" s="6">
        <v>44451</v>
      </c>
      <c r="D6" s="5" t="s">
        <v>20</v>
      </c>
      <c r="E6" s="5" t="s">
        <v>15</v>
      </c>
      <c r="F6" t="s">
        <v>27</v>
      </c>
      <c r="G6" s="5" t="s">
        <v>17</v>
      </c>
      <c r="H6" t="s">
        <v>28</v>
      </c>
      <c r="I6" s="7">
        <v>27</v>
      </c>
      <c r="J6" s="5">
        <v>24</v>
      </c>
      <c r="K6" s="5">
        <v>366</v>
      </c>
      <c r="L6" s="5">
        <v>0</v>
      </c>
      <c r="M6" s="5">
        <v>403</v>
      </c>
      <c r="N6" s="8">
        <v>1</v>
      </c>
      <c r="O6">
        <f t="shared" si="0"/>
        <v>3</v>
      </c>
    </row>
    <row r="7" spans="1:15" hidden="1">
      <c r="A7" s="4">
        <v>1</v>
      </c>
      <c r="B7" s="5" t="s">
        <v>19</v>
      </c>
      <c r="C7" s="6">
        <v>44451</v>
      </c>
      <c r="D7" s="5" t="s">
        <v>20</v>
      </c>
      <c r="E7" s="5" t="s">
        <v>17</v>
      </c>
      <c r="F7" t="s">
        <v>29</v>
      </c>
      <c r="G7" s="9" t="s">
        <v>15</v>
      </c>
      <c r="H7" t="s">
        <v>30</v>
      </c>
      <c r="I7" s="7">
        <v>28</v>
      </c>
      <c r="J7" s="5">
        <v>16</v>
      </c>
      <c r="K7" s="5">
        <v>381</v>
      </c>
      <c r="L7" s="5">
        <v>1</v>
      </c>
      <c r="M7" s="5">
        <v>336</v>
      </c>
      <c r="N7" s="8">
        <v>1</v>
      </c>
      <c r="O7">
        <f t="shared" si="0"/>
        <v>12</v>
      </c>
    </row>
    <row r="8" spans="1:15" hidden="1">
      <c r="A8" s="4">
        <v>1</v>
      </c>
      <c r="B8" s="5" t="s">
        <v>19</v>
      </c>
      <c r="C8" s="6">
        <v>44451</v>
      </c>
      <c r="D8" s="5" t="s">
        <v>20</v>
      </c>
      <c r="E8" s="5" t="s">
        <v>17</v>
      </c>
      <c r="F8" t="s">
        <v>31</v>
      </c>
      <c r="G8" s="9" t="s">
        <v>15</v>
      </c>
      <c r="H8" t="s">
        <v>32</v>
      </c>
      <c r="I8" s="7">
        <v>38</v>
      </c>
      <c r="J8" s="5">
        <v>13</v>
      </c>
      <c r="K8" s="5">
        <v>416</v>
      </c>
      <c r="L8" s="5">
        <v>1</v>
      </c>
      <c r="M8" s="5">
        <v>248</v>
      </c>
      <c r="N8" s="8">
        <v>3</v>
      </c>
      <c r="O8">
        <f t="shared" si="0"/>
        <v>25</v>
      </c>
    </row>
    <row r="9" spans="1:15" hidden="1">
      <c r="A9" s="4">
        <v>1</v>
      </c>
      <c r="B9" s="5" t="s">
        <v>19</v>
      </c>
      <c r="C9" s="6">
        <v>44451</v>
      </c>
      <c r="D9" s="5" t="s">
        <v>20</v>
      </c>
      <c r="E9" s="5" t="s">
        <v>17</v>
      </c>
      <c r="F9" t="s">
        <v>33</v>
      </c>
      <c r="G9" s="9" t="s">
        <v>15</v>
      </c>
      <c r="H9" t="s">
        <v>34</v>
      </c>
      <c r="I9" s="7">
        <v>41</v>
      </c>
      <c r="J9" s="5">
        <v>33</v>
      </c>
      <c r="K9" s="5">
        <v>442</v>
      </c>
      <c r="L9" s="5">
        <v>2</v>
      </c>
      <c r="M9" s="5">
        <v>430</v>
      </c>
      <c r="N9" s="8">
        <v>1</v>
      </c>
      <c r="O9">
        <f t="shared" si="0"/>
        <v>8</v>
      </c>
    </row>
    <row r="10" spans="1:15" hidden="1">
      <c r="A10" s="4">
        <v>1</v>
      </c>
      <c r="B10" s="5" t="s">
        <v>19</v>
      </c>
      <c r="C10" s="6">
        <v>44451</v>
      </c>
      <c r="D10" s="5" t="s">
        <v>20</v>
      </c>
      <c r="E10" s="5" t="s">
        <v>15</v>
      </c>
      <c r="F10" t="s">
        <v>35</v>
      </c>
      <c r="G10" s="5" t="s">
        <v>17</v>
      </c>
      <c r="H10" t="s">
        <v>36</v>
      </c>
      <c r="I10" s="7">
        <v>37</v>
      </c>
      <c r="J10" s="5">
        <v>21</v>
      </c>
      <c r="K10" s="5">
        <v>449</v>
      </c>
      <c r="L10" s="5">
        <v>0</v>
      </c>
      <c r="M10" s="5">
        <v>395</v>
      </c>
      <c r="N10" s="8">
        <v>3</v>
      </c>
      <c r="O10">
        <f t="shared" si="0"/>
        <v>16</v>
      </c>
    </row>
    <row r="11" spans="1:15" hidden="1">
      <c r="A11" s="4">
        <v>1</v>
      </c>
      <c r="B11" s="5" t="s">
        <v>19</v>
      </c>
      <c r="C11" s="6">
        <v>44451</v>
      </c>
      <c r="D11" s="5" t="s">
        <v>20</v>
      </c>
      <c r="E11" s="5" t="s">
        <v>17</v>
      </c>
      <c r="F11" t="s">
        <v>37</v>
      </c>
      <c r="G11" s="9" t="s">
        <v>15</v>
      </c>
      <c r="H11" t="s">
        <v>38</v>
      </c>
      <c r="I11" s="7">
        <v>20</v>
      </c>
      <c r="J11" s="5">
        <v>16</v>
      </c>
      <c r="K11" s="5">
        <v>424</v>
      </c>
      <c r="L11" s="5">
        <v>2</v>
      </c>
      <c r="M11" s="5">
        <v>259</v>
      </c>
      <c r="N11" s="8">
        <v>1</v>
      </c>
      <c r="O11">
        <f t="shared" si="0"/>
        <v>4</v>
      </c>
    </row>
    <row r="12" spans="1:15" hidden="1">
      <c r="A12" s="4">
        <v>1</v>
      </c>
      <c r="B12" s="5" t="s">
        <v>19</v>
      </c>
      <c r="C12" s="6">
        <v>44451</v>
      </c>
      <c r="D12" s="5" t="s">
        <v>39</v>
      </c>
      <c r="E12" s="5" t="s">
        <v>15</v>
      </c>
      <c r="F12" t="s">
        <v>40</v>
      </c>
      <c r="G12" s="5" t="s">
        <v>17</v>
      </c>
      <c r="H12" t="s">
        <v>41</v>
      </c>
      <c r="I12" s="7">
        <v>33</v>
      </c>
      <c r="J12" s="5">
        <v>29</v>
      </c>
      <c r="K12" s="5">
        <v>397</v>
      </c>
      <c r="L12" s="5">
        <v>0</v>
      </c>
      <c r="M12" s="5">
        <v>457</v>
      </c>
      <c r="N12" s="8">
        <v>2</v>
      </c>
      <c r="O12">
        <f t="shared" si="0"/>
        <v>4</v>
      </c>
    </row>
    <row r="13" spans="1:15" hidden="1">
      <c r="A13" s="4">
        <v>1</v>
      </c>
      <c r="B13" s="5" t="s">
        <v>19</v>
      </c>
      <c r="C13" s="6">
        <v>44451</v>
      </c>
      <c r="D13" s="5" t="s">
        <v>39</v>
      </c>
      <c r="E13" s="5" t="s">
        <v>17</v>
      </c>
      <c r="F13" t="s">
        <v>42</v>
      </c>
      <c r="G13" s="9" t="s">
        <v>15</v>
      </c>
      <c r="H13" t="s">
        <v>43</v>
      </c>
      <c r="I13" s="7">
        <v>27</v>
      </c>
      <c r="J13" s="5">
        <v>13</v>
      </c>
      <c r="K13" s="5">
        <v>420</v>
      </c>
      <c r="L13" s="5">
        <v>1</v>
      </c>
      <c r="M13" s="5">
        <v>314</v>
      </c>
      <c r="N13" s="8">
        <v>1</v>
      </c>
      <c r="O13">
        <f t="shared" si="0"/>
        <v>14</v>
      </c>
    </row>
    <row r="14" spans="1:15" hidden="1">
      <c r="A14" s="4">
        <v>1</v>
      </c>
      <c r="B14" s="5" t="s">
        <v>19</v>
      </c>
      <c r="C14" s="6">
        <v>44451</v>
      </c>
      <c r="D14" s="5" t="s">
        <v>39</v>
      </c>
      <c r="E14" s="5" t="s">
        <v>15</v>
      </c>
      <c r="F14" t="s">
        <v>44</v>
      </c>
      <c r="G14" s="5" t="s">
        <v>17</v>
      </c>
      <c r="H14" t="s">
        <v>45</v>
      </c>
      <c r="I14" s="7">
        <v>38</v>
      </c>
      <c r="J14" s="5">
        <v>3</v>
      </c>
      <c r="K14" s="5">
        <v>322</v>
      </c>
      <c r="L14" s="5">
        <v>0</v>
      </c>
      <c r="M14" s="5">
        <v>229</v>
      </c>
      <c r="N14" s="8">
        <v>3</v>
      </c>
      <c r="O14">
        <f t="shared" si="0"/>
        <v>35</v>
      </c>
    </row>
    <row r="15" spans="1:15" hidden="1">
      <c r="A15" s="4">
        <v>1</v>
      </c>
      <c r="B15" s="5" t="s">
        <v>19</v>
      </c>
      <c r="C15" s="6">
        <v>44451</v>
      </c>
      <c r="D15" s="5" t="s">
        <v>39</v>
      </c>
      <c r="E15" s="5" t="s">
        <v>17</v>
      </c>
      <c r="F15" t="s">
        <v>46</v>
      </c>
      <c r="G15" s="9" t="s">
        <v>15</v>
      </c>
      <c r="H15" t="s">
        <v>47</v>
      </c>
      <c r="I15" s="7">
        <v>17</v>
      </c>
      <c r="J15" s="5">
        <v>16</v>
      </c>
      <c r="K15" s="5">
        <v>259</v>
      </c>
      <c r="L15" s="5">
        <v>1</v>
      </c>
      <c r="M15" s="5">
        <v>393</v>
      </c>
      <c r="N15" s="8">
        <v>2</v>
      </c>
      <c r="O15">
        <f t="shared" si="0"/>
        <v>1</v>
      </c>
    </row>
    <row r="16" spans="1:15" hidden="1">
      <c r="A16" s="4">
        <v>1</v>
      </c>
      <c r="B16" s="5" t="s">
        <v>19</v>
      </c>
      <c r="C16" s="6">
        <v>44451</v>
      </c>
      <c r="D16" s="5" t="s">
        <v>14</v>
      </c>
      <c r="E16" s="5" t="s">
        <v>15</v>
      </c>
      <c r="F16" t="s">
        <v>48</v>
      </c>
      <c r="G16" s="5" t="s">
        <v>17</v>
      </c>
      <c r="H16" t="s">
        <v>49</v>
      </c>
      <c r="I16" s="7">
        <v>34</v>
      </c>
      <c r="J16" s="5">
        <v>14</v>
      </c>
      <c r="K16" s="5">
        <v>386</v>
      </c>
      <c r="L16" s="5">
        <v>0</v>
      </c>
      <c r="M16" s="5">
        <v>322</v>
      </c>
      <c r="N16" s="8">
        <v>2</v>
      </c>
      <c r="O16">
        <f t="shared" si="0"/>
        <v>20</v>
      </c>
    </row>
    <row r="17" spans="1:15" hidden="1">
      <c r="A17" s="4">
        <v>1</v>
      </c>
      <c r="B17" s="5" t="s">
        <v>50</v>
      </c>
      <c r="C17" s="6">
        <v>44452</v>
      </c>
      <c r="D17" s="5" t="s">
        <v>51</v>
      </c>
      <c r="E17" s="5" t="s">
        <v>15</v>
      </c>
      <c r="F17" t="s">
        <v>52</v>
      </c>
      <c r="G17" s="5" t="s">
        <v>17</v>
      </c>
      <c r="H17" t="s">
        <v>53</v>
      </c>
      <c r="I17" s="7">
        <v>33</v>
      </c>
      <c r="J17" s="5">
        <v>27</v>
      </c>
      <c r="K17" s="5">
        <v>491</v>
      </c>
      <c r="L17" s="5">
        <v>1</v>
      </c>
      <c r="M17" s="5">
        <v>406</v>
      </c>
      <c r="N17" s="8">
        <v>2</v>
      </c>
      <c r="O17">
        <f t="shared" si="0"/>
        <v>6</v>
      </c>
    </row>
    <row r="18" spans="1:15">
      <c r="A18" s="4">
        <v>2</v>
      </c>
      <c r="B18" s="5" t="s">
        <v>13</v>
      </c>
      <c r="C18" s="6">
        <v>44455</v>
      </c>
      <c r="D18" s="5" t="s">
        <v>14</v>
      </c>
      <c r="E18" s="5" t="s">
        <v>15</v>
      </c>
      <c r="F18" t="s">
        <v>38</v>
      </c>
      <c r="G18" s="5" t="s">
        <v>17</v>
      </c>
      <c r="H18" t="s">
        <v>43</v>
      </c>
      <c r="I18" s="7">
        <v>30</v>
      </c>
      <c r="J18" s="5">
        <v>29</v>
      </c>
      <c r="K18" s="5">
        <v>407</v>
      </c>
      <c r="L18" s="5">
        <v>1</v>
      </c>
      <c r="M18" s="5">
        <v>391</v>
      </c>
      <c r="N18" s="8">
        <v>0</v>
      </c>
      <c r="O18">
        <f t="shared" si="0"/>
        <v>1</v>
      </c>
    </row>
    <row r="19" spans="1:15" hidden="1">
      <c r="A19" s="4">
        <v>2</v>
      </c>
      <c r="B19" s="5" t="s">
        <v>19</v>
      </c>
      <c r="C19" s="6">
        <v>44458</v>
      </c>
      <c r="D19" s="5" t="s">
        <v>20</v>
      </c>
      <c r="E19" s="5" t="s">
        <v>17</v>
      </c>
      <c r="F19" t="s">
        <v>24</v>
      </c>
      <c r="G19" s="9" t="s">
        <v>15</v>
      </c>
      <c r="H19" t="s">
        <v>46</v>
      </c>
      <c r="I19" s="7">
        <v>35</v>
      </c>
      <c r="J19" s="5">
        <v>0</v>
      </c>
      <c r="K19" s="5">
        <v>314</v>
      </c>
      <c r="L19" s="5">
        <v>2</v>
      </c>
      <c r="M19" s="5">
        <v>223</v>
      </c>
      <c r="N19" s="8">
        <v>3</v>
      </c>
      <c r="O19">
        <f t="shared" si="0"/>
        <v>35</v>
      </c>
    </row>
    <row r="20" spans="1:15" hidden="1">
      <c r="A20" s="4">
        <v>2</v>
      </c>
      <c r="B20" s="5" t="s">
        <v>19</v>
      </c>
      <c r="C20" s="6">
        <v>44458</v>
      </c>
      <c r="D20" s="5" t="s">
        <v>20</v>
      </c>
      <c r="E20" s="5" t="s">
        <v>15</v>
      </c>
      <c r="F20" t="s">
        <v>25</v>
      </c>
      <c r="G20" s="5" t="s">
        <v>17</v>
      </c>
      <c r="H20" t="s">
        <v>44</v>
      </c>
      <c r="I20" s="7">
        <v>26</v>
      </c>
      <c r="J20" s="5">
        <v>7</v>
      </c>
      <c r="K20" s="5">
        <v>383</v>
      </c>
      <c r="L20" s="5">
        <v>1</v>
      </c>
      <c r="M20" s="5">
        <v>128</v>
      </c>
      <c r="N20" s="8">
        <v>2</v>
      </c>
      <c r="O20">
        <f t="shared" si="0"/>
        <v>19</v>
      </c>
    </row>
    <row r="21" spans="1:15">
      <c r="A21" s="4">
        <v>2</v>
      </c>
      <c r="B21" s="5" t="s">
        <v>19</v>
      </c>
      <c r="C21" s="6">
        <v>44458</v>
      </c>
      <c r="D21" s="5" t="s">
        <v>20</v>
      </c>
      <c r="E21" s="5" t="s">
        <v>15</v>
      </c>
      <c r="F21" t="s">
        <v>49</v>
      </c>
      <c r="G21" s="5" t="s">
        <v>17</v>
      </c>
      <c r="H21" t="s">
        <v>27</v>
      </c>
      <c r="I21" s="7">
        <v>20</v>
      </c>
      <c r="J21" s="5">
        <v>17</v>
      </c>
      <c r="K21" s="5">
        <v>206</v>
      </c>
      <c r="L21" s="5">
        <v>1</v>
      </c>
      <c r="M21" s="5">
        <v>248</v>
      </c>
      <c r="N21" s="8">
        <v>4</v>
      </c>
      <c r="O21">
        <f t="shared" si="0"/>
        <v>3</v>
      </c>
    </row>
    <row r="22" spans="1:15" hidden="1">
      <c r="A22" s="4">
        <v>2</v>
      </c>
      <c r="B22" s="5" t="s">
        <v>19</v>
      </c>
      <c r="C22" s="6">
        <v>44458</v>
      </c>
      <c r="D22" s="5" t="s">
        <v>20</v>
      </c>
      <c r="E22" s="5" t="s">
        <v>15</v>
      </c>
      <c r="F22" t="s">
        <v>41</v>
      </c>
      <c r="G22" s="5" t="s">
        <v>17</v>
      </c>
      <c r="H22" t="s">
        <v>35</v>
      </c>
      <c r="I22" s="7">
        <v>31</v>
      </c>
      <c r="J22" s="5">
        <v>21</v>
      </c>
      <c r="K22" s="5">
        <v>355</v>
      </c>
      <c r="L22" s="5">
        <v>2</v>
      </c>
      <c r="M22" s="5">
        <v>302</v>
      </c>
      <c r="N22" s="8">
        <v>2</v>
      </c>
      <c r="O22">
        <f t="shared" si="0"/>
        <v>10</v>
      </c>
    </row>
    <row r="23" spans="1:15" hidden="1">
      <c r="A23" s="4">
        <v>2</v>
      </c>
      <c r="B23" s="5" t="s">
        <v>19</v>
      </c>
      <c r="C23" s="6">
        <v>44458</v>
      </c>
      <c r="D23" s="5" t="s">
        <v>20</v>
      </c>
      <c r="E23" s="5" t="s">
        <v>17</v>
      </c>
      <c r="F23" t="s">
        <v>48</v>
      </c>
      <c r="G23" s="9" t="s">
        <v>15</v>
      </c>
      <c r="H23" t="s">
        <v>30</v>
      </c>
      <c r="I23" s="7">
        <v>27</v>
      </c>
      <c r="J23" s="5">
        <v>24</v>
      </c>
      <c r="K23" s="5">
        <v>371</v>
      </c>
      <c r="L23" s="5">
        <v>2</v>
      </c>
      <c r="M23" s="5">
        <v>354</v>
      </c>
      <c r="N23" s="8">
        <v>2</v>
      </c>
      <c r="O23">
        <f t="shared" si="0"/>
        <v>3</v>
      </c>
    </row>
    <row r="24" spans="1:15" hidden="1">
      <c r="A24" s="4">
        <v>2</v>
      </c>
      <c r="B24" s="5" t="s">
        <v>19</v>
      </c>
      <c r="C24" s="6">
        <v>44458</v>
      </c>
      <c r="D24" s="5" t="s">
        <v>20</v>
      </c>
      <c r="E24" s="5" t="s">
        <v>17</v>
      </c>
      <c r="F24" t="s">
        <v>42</v>
      </c>
      <c r="G24" s="9" t="s">
        <v>15</v>
      </c>
      <c r="H24" t="s">
        <v>36</v>
      </c>
      <c r="I24" s="7">
        <v>23</v>
      </c>
      <c r="J24" s="5">
        <v>13</v>
      </c>
      <c r="K24" s="5">
        <v>398</v>
      </c>
      <c r="L24" s="5">
        <v>0</v>
      </c>
      <c r="M24" s="5">
        <v>189</v>
      </c>
      <c r="N24" s="8">
        <v>2</v>
      </c>
      <c r="O24">
        <f t="shared" si="0"/>
        <v>10</v>
      </c>
    </row>
    <row r="25" spans="1:15">
      <c r="A25" s="4">
        <v>2</v>
      </c>
      <c r="B25" s="5" t="s">
        <v>19</v>
      </c>
      <c r="C25" s="6">
        <v>44458</v>
      </c>
      <c r="D25" s="5" t="s">
        <v>20</v>
      </c>
      <c r="E25" s="5" t="s">
        <v>17</v>
      </c>
      <c r="F25" t="s">
        <v>47</v>
      </c>
      <c r="G25" s="9" t="s">
        <v>15</v>
      </c>
      <c r="H25" t="s">
        <v>26</v>
      </c>
      <c r="I25" s="7">
        <v>25</v>
      </c>
      <c r="J25" s="5">
        <v>6</v>
      </c>
      <c r="K25" s="5">
        <v>260</v>
      </c>
      <c r="L25" s="5">
        <v>0</v>
      </c>
      <c r="M25" s="5">
        <v>336</v>
      </c>
      <c r="N25" s="8">
        <v>4</v>
      </c>
      <c r="O25">
        <f t="shared" si="0"/>
        <v>19</v>
      </c>
    </row>
    <row r="26" spans="1:15">
      <c r="A26" s="4">
        <v>2</v>
      </c>
      <c r="B26" s="5" t="s">
        <v>19</v>
      </c>
      <c r="C26" s="6">
        <v>44458</v>
      </c>
      <c r="D26" s="5" t="s">
        <v>20</v>
      </c>
      <c r="E26" s="5" t="s">
        <v>17</v>
      </c>
      <c r="F26" t="s">
        <v>33</v>
      </c>
      <c r="G26" s="9" t="s">
        <v>15</v>
      </c>
      <c r="H26" t="s">
        <v>21</v>
      </c>
      <c r="I26" s="7">
        <v>17</v>
      </c>
      <c r="J26" s="5">
        <v>11</v>
      </c>
      <c r="K26" s="5">
        <v>306</v>
      </c>
      <c r="L26" s="5">
        <v>0</v>
      </c>
      <c r="M26" s="5">
        <v>328</v>
      </c>
      <c r="N26" s="8">
        <v>0</v>
      </c>
      <c r="O26">
        <f t="shared" si="0"/>
        <v>6</v>
      </c>
    </row>
    <row r="27" spans="1:15" hidden="1">
      <c r="A27" s="4">
        <v>2</v>
      </c>
      <c r="B27" s="5" t="s">
        <v>19</v>
      </c>
      <c r="C27" s="6">
        <v>44458</v>
      </c>
      <c r="D27" s="5" t="s">
        <v>20</v>
      </c>
      <c r="E27" s="5" t="s">
        <v>17</v>
      </c>
      <c r="F27" t="s">
        <v>52</v>
      </c>
      <c r="G27" s="9" t="s">
        <v>15</v>
      </c>
      <c r="H27" t="s">
        <v>23</v>
      </c>
      <c r="I27" s="7">
        <v>26</v>
      </c>
      <c r="J27" s="5">
        <v>17</v>
      </c>
      <c r="K27" s="5">
        <v>425</v>
      </c>
      <c r="L27" s="5">
        <v>0</v>
      </c>
      <c r="M27" s="5">
        <v>331</v>
      </c>
      <c r="N27" s="8">
        <v>1</v>
      </c>
      <c r="O27">
        <f t="shared" si="0"/>
        <v>9</v>
      </c>
    </row>
    <row r="28" spans="1:15" hidden="1">
      <c r="A28" s="4">
        <v>2</v>
      </c>
      <c r="B28" s="5" t="s">
        <v>19</v>
      </c>
      <c r="C28" s="6">
        <v>44458</v>
      </c>
      <c r="D28" s="5" t="s">
        <v>54</v>
      </c>
      <c r="E28" s="5" t="s">
        <v>15</v>
      </c>
      <c r="F28" t="s">
        <v>16</v>
      </c>
      <c r="G28" s="5" t="s">
        <v>17</v>
      </c>
      <c r="H28" t="s">
        <v>22</v>
      </c>
      <c r="I28" s="7">
        <v>48</v>
      </c>
      <c r="J28" s="5">
        <v>25</v>
      </c>
      <c r="K28" s="5">
        <v>341</v>
      </c>
      <c r="L28" s="5">
        <v>1</v>
      </c>
      <c r="M28" s="5">
        <v>348</v>
      </c>
      <c r="N28" s="8">
        <v>3</v>
      </c>
      <c r="O28">
        <f t="shared" si="0"/>
        <v>23</v>
      </c>
    </row>
    <row r="29" spans="1:15">
      <c r="A29" s="4">
        <v>2</v>
      </c>
      <c r="B29" s="5" t="s">
        <v>19</v>
      </c>
      <c r="C29" s="6">
        <v>44458</v>
      </c>
      <c r="D29" s="5" t="s">
        <v>54</v>
      </c>
      <c r="E29" s="5" t="s">
        <v>15</v>
      </c>
      <c r="F29" t="s">
        <v>31</v>
      </c>
      <c r="G29" s="5" t="s">
        <v>17</v>
      </c>
      <c r="H29" t="s">
        <v>28</v>
      </c>
      <c r="I29" s="7">
        <v>34</v>
      </c>
      <c r="J29" s="5">
        <v>33</v>
      </c>
      <c r="K29" s="5">
        <v>474</v>
      </c>
      <c r="L29" s="5">
        <v>2</v>
      </c>
      <c r="M29" s="5">
        <v>419</v>
      </c>
      <c r="N29" s="8">
        <v>0</v>
      </c>
      <c r="O29">
        <f t="shared" si="0"/>
        <v>1</v>
      </c>
    </row>
    <row r="30" spans="1:15" hidden="1">
      <c r="A30" s="4">
        <v>2</v>
      </c>
      <c r="B30" s="5" t="s">
        <v>19</v>
      </c>
      <c r="C30" s="6">
        <v>44458</v>
      </c>
      <c r="D30" s="5" t="s">
        <v>39</v>
      </c>
      <c r="E30" s="5" t="s">
        <v>17</v>
      </c>
      <c r="F30" t="s">
        <v>18</v>
      </c>
      <c r="G30" s="9" t="s">
        <v>15</v>
      </c>
      <c r="H30" t="s">
        <v>37</v>
      </c>
      <c r="I30" s="7">
        <v>20</v>
      </c>
      <c r="J30" s="5">
        <v>17</v>
      </c>
      <c r="K30" s="5">
        <v>419</v>
      </c>
      <c r="L30" s="5">
        <v>1</v>
      </c>
      <c r="M30" s="5">
        <v>408</v>
      </c>
      <c r="N30" s="8">
        <v>2</v>
      </c>
      <c r="O30">
        <f t="shared" si="0"/>
        <v>3</v>
      </c>
    </row>
    <row r="31" spans="1:15">
      <c r="A31" s="4">
        <v>2</v>
      </c>
      <c r="B31" s="5" t="s">
        <v>19</v>
      </c>
      <c r="C31" s="6">
        <v>44458</v>
      </c>
      <c r="D31" s="5" t="s">
        <v>39</v>
      </c>
      <c r="E31" s="5" t="s">
        <v>17</v>
      </c>
      <c r="F31" t="s">
        <v>32</v>
      </c>
      <c r="G31" s="9" t="s">
        <v>15</v>
      </c>
      <c r="H31" t="s">
        <v>29</v>
      </c>
      <c r="I31" s="7">
        <v>33</v>
      </c>
      <c r="J31" s="5">
        <v>30</v>
      </c>
      <c r="K31" s="5">
        <v>532</v>
      </c>
      <c r="L31" s="5">
        <v>1</v>
      </c>
      <c r="M31" s="5">
        <v>397</v>
      </c>
      <c r="N31" s="8">
        <v>0</v>
      </c>
      <c r="O31">
        <f t="shared" si="0"/>
        <v>3</v>
      </c>
    </row>
    <row r="32" spans="1:15" hidden="1">
      <c r="A32" s="4">
        <v>2</v>
      </c>
      <c r="B32" s="5" t="s">
        <v>19</v>
      </c>
      <c r="C32" s="6">
        <v>44458</v>
      </c>
      <c r="D32" s="5" t="s">
        <v>14</v>
      </c>
      <c r="E32" s="5" t="s">
        <v>15</v>
      </c>
      <c r="F32" t="s">
        <v>53</v>
      </c>
      <c r="G32" s="5" t="s">
        <v>17</v>
      </c>
      <c r="H32" t="s">
        <v>40</v>
      </c>
      <c r="I32" s="7">
        <v>36</v>
      </c>
      <c r="J32" s="5">
        <v>35</v>
      </c>
      <c r="K32" s="5">
        <v>481</v>
      </c>
      <c r="L32" s="5">
        <v>2</v>
      </c>
      <c r="M32" s="5">
        <v>405</v>
      </c>
      <c r="N32" s="8">
        <v>2</v>
      </c>
      <c r="O32">
        <f t="shared" si="0"/>
        <v>1</v>
      </c>
    </row>
    <row r="33" spans="1:15" hidden="1">
      <c r="A33" s="4">
        <v>2</v>
      </c>
      <c r="B33" s="5" t="s">
        <v>50</v>
      </c>
      <c r="C33" s="6">
        <v>44459</v>
      </c>
      <c r="D33" s="5" t="s">
        <v>51</v>
      </c>
      <c r="E33" s="5" t="s">
        <v>15</v>
      </c>
      <c r="F33" t="s">
        <v>45</v>
      </c>
      <c r="G33" s="5" t="s">
        <v>17</v>
      </c>
      <c r="H33" t="s">
        <v>34</v>
      </c>
      <c r="I33" s="7">
        <v>35</v>
      </c>
      <c r="J33" s="5">
        <v>17</v>
      </c>
      <c r="K33" s="5">
        <v>323</v>
      </c>
      <c r="L33" s="5">
        <v>0</v>
      </c>
      <c r="M33" s="5">
        <v>344</v>
      </c>
      <c r="N33" s="8">
        <v>2</v>
      </c>
      <c r="O33">
        <f t="shared" si="0"/>
        <v>18</v>
      </c>
    </row>
    <row r="34" spans="1:15">
      <c r="A34" s="4">
        <v>3</v>
      </c>
      <c r="B34" s="5" t="s">
        <v>13</v>
      </c>
      <c r="C34" s="6">
        <v>44462</v>
      </c>
      <c r="D34" s="5" t="s">
        <v>14</v>
      </c>
      <c r="E34" s="5" t="s">
        <v>17</v>
      </c>
      <c r="F34" t="s">
        <v>25</v>
      </c>
      <c r="G34" s="9" t="s">
        <v>15</v>
      </c>
      <c r="H34" t="s">
        <v>35</v>
      </c>
      <c r="I34" s="7">
        <v>24</v>
      </c>
      <c r="J34" s="5">
        <v>9</v>
      </c>
      <c r="K34" s="5">
        <v>407</v>
      </c>
      <c r="L34" s="5">
        <v>0</v>
      </c>
      <c r="M34" s="5">
        <v>193</v>
      </c>
      <c r="N34" s="8">
        <v>0</v>
      </c>
      <c r="O34">
        <f t="shared" si="0"/>
        <v>15</v>
      </c>
    </row>
    <row r="35" spans="1:15" hidden="1">
      <c r="A35" s="4">
        <v>3</v>
      </c>
      <c r="B35" s="5" t="s">
        <v>19</v>
      </c>
      <c r="C35" s="6">
        <v>44465</v>
      </c>
      <c r="D35" s="5" t="s">
        <v>20</v>
      </c>
      <c r="E35" s="5" t="s">
        <v>17</v>
      </c>
      <c r="F35" t="s">
        <v>22</v>
      </c>
      <c r="G35" s="9" t="s">
        <v>15</v>
      </c>
      <c r="H35" t="s">
        <v>43</v>
      </c>
      <c r="I35" s="7">
        <v>17</v>
      </c>
      <c r="J35" s="5">
        <v>14</v>
      </c>
      <c r="K35" s="5">
        <v>296</v>
      </c>
      <c r="L35" s="5">
        <v>1</v>
      </c>
      <c r="M35" s="5">
        <v>346</v>
      </c>
      <c r="N35" s="8">
        <v>1</v>
      </c>
      <c r="O35">
        <f t="shared" si="0"/>
        <v>3</v>
      </c>
    </row>
    <row r="36" spans="1:15" hidden="1">
      <c r="A36" s="4">
        <v>3</v>
      </c>
      <c r="B36" s="5" t="s">
        <v>19</v>
      </c>
      <c r="C36" s="6">
        <v>44465</v>
      </c>
      <c r="D36" s="5" t="s">
        <v>20</v>
      </c>
      <c r="E36" s="5" t="s">
        <v>15</v>
      </c>
      <c r="F36" t="s">
        <v>24</v>
      </c>
      <c r="G36" s="5" t="s">
        <v>17</v>
      </c>
      <c r="H36" t="s">
        <v>38</v>
      </c>
      <c r="I36" s="7">
        <v>43</v>
      </c>
      <c r="J36" s="5">
        <v>21</v>
      </c>
      <c r="K36" s="5">
        <v>481</v>
      </c>
      <c r="L36" s="5">
        <v>0</v>
      </c>
      <c r="M36" s="5">
        <v>290</v>
      </c>
      <c r="N36" s="8">
        <v>3</v>
      </c>
      <c r="O36">
        <f t="shared" si="0"/>
        <v>22</v>
      </c>
    </row>
    <row r="37" spans="1:15">
      <c r="A37" s="4">
        <v>3</v>
      </c>
      <c r="B37" s="5" t="s">
        <v>19</v>
      </c>
      <c r="C37" s="6">
        <v>44465</v>
      </c>
      <c r="D37" s="5" t="s">
        <v>20</v>
      </c>
      <c r="E37" s="5" t="s">
        <v>15</v>
      </c>
      <c r="F37" t="s">
        <v>41</v>
      </c>
      <c r="G37" s="5" t="s">
        <v>17</v>
      </c>
      <c r="H37" t="s">
        <v>49</v>
      </c>
      <c r="I37" s="7">
        <v>26</v>
      </c>
      <c r="J37" s="5">
        <v>6</v>
      </c>
      <c r="K37" s="5">
        <v>418</v>
      </c>
      <c r="L37" s="5">
        <v>0</v>
      </c>
      <c r="M37" s="5">
        <v>47</v>
      </c>
      <c r="N37" s="8">
        <v>0</v>
      </c>
      <c r="O37">
        <f t="shared" si="0"/>
        <v>20</v>
      </c>
    </row>
    <row r="38" spans="1:15" hidden="1">
      <c r="A38" s="4">
        <v>3</v>
      </c>
      <c r="B38" s="5" t="s">
        <v>19</v>
      </c>
      <c r="C38" s="6">
        <v>44465</v>
      </c>
      <c r="D38" s="5" t="s">
        <v>20</v>
      </c>
      <c r="E38" s="5" t="s">
        <v>17</v>
      </c>
      <c r="F38" t="s">
        <v>27</v>
      </c>
      <c r="G38" s="9" t="s">
        <v>15</v>
      </c>
      <c r="H38" t="s">
        <v>23</v>
      </c>
      <c r="I38" s="7">
        <v>24</v>
      </c>
      <c r="J38" s="5">
        <v>10</v>
      </c>
      <c r="K38" s="5">
        <v>268</v>
      </c>
      <c r="L38" s="5">
        <v>1</v>
      </c>
      <c r="M38" s="5">
        <v>342</v>
      </c>
      <c r="N38" s="8">
        <v>2</v>
      </c>
      <c r="O38">
        <f t="shared" si="0"/>
        <v>14</v>
      </c>
    </row>
    <row r="39" spans="1:15">
      <c r="A39" s="4">
        <v>3</v>
      </c>
      <c r="B39" s="5" t="s">
        <v>19</v>
      </c>
      <c r="C39" s="6">
        <v>44465</v>
      </c>
      <c r="D39" s="5" t="s">
        <v>20</v>
      </c>
      <c r="E39" s="5" t="s">
        <v>15</v>
      </c>
      <c r="F39" t="s">
        <v>32</v>
      </c>
      <c r="G39" s="5" t="s">
        <v>17</v>
      </c>
      <c r="H39" t="s">
        <v>30</v>
      </c>
      <c r="I39" s="7">
        <v>25</v>
      </c>
      <c r="J39" s="5">
        <v>16</v>
      </c>
      <c r="K39" s="5">
        <v>368</v>
      </c>
      <c r="L39" s="5">
        <v>3</v>
      </c>
      <c r="M39" s="5">
        <v>265</v>
      </c>
      <c r="N39" s="8">
        <v>0</v>
      </c>
      <c r="O39">
        <f t="shared" si="0"/>
        <v>9</v>
      </c>
    </row>
    <row r="40" spans="1:15">
      <c r="A40" s="4">
        <v>3</v>
      </c>
      <c r="B40" s="5" t="s">
        <v>19</v>
      </c>
      <c r="C40" s="6">
        <v>44465</v>
      </c>
      <c r="D40" s="5" t="s">
        <v>20</v>
      </c>
      <c r="E40" s="5" t="s">
        <v>17</v>
      </c>
      <c r="F40" t="s">
        <v>31</v>
      </c>
      <c r="G40" s="9" t="s">
        <v>15</v>
      </c>
      <c r="H40" t="s">
        <v>36</v>
      </c>
      <c r="I40" s="7">
        <v>31</v>
      </c>
      <c r="J40" s="5">
        <v>19</v>
      </c>
      <c r="K40" s="5">
        <v>407</v>
      </c>
      <c r="L40" s="5">
        <v>1</v>
      </c>
      <c r="M40" s="5">
        <v>361</v>
      </c>
      <c r="N40" s="8">
        <v>4</v>
      </c>
      <c r="O40">
        <f t="shared" si="0"/>
        <v>12</v>
      </c>
    </row>
    <row r="41" spans="1:15">
      <c r="A41" s="4">
        <v>3</v>
      </c>
      <c r="B41" s="5" t="s">
        <v>19</v>
      </c>
      <c r="C41" s="6">
        <v>44465</v>
      </c>
      <c r="D41" s="5" t="s">
        <v>20</v>
      </c>
      <c r="E41" s="5" t="s">
        <v>17</v>
      </c>
      <c r="F41" t="s">
        <v>53</v>
      </c>
      <c r="G41" s="9" t="s">
        <v>15</v>
      </c>
      <c r="H41" t="s">
        <v>34</v>
      </c>
      <c r="I41" s="7">
        <v>19</v>
      </c>
      <c r="J41" s="5">
        <v>17</v>
      </c>
      <c r="K41" s="5">
        <v>387</v>
      </c>
      <c r="L41" s="5">
        <v>1</v>
      </c>
      <c r="M41" s="5">
        <v>285</v>
      </c>
      <c r="N41" s="8">
        <v>0</v>
      </c>
      <c r="O41">
        <f t="shared" si="0"/>
        <v>2</v>
      </c>
    </row>
    <row r="42" spans="1:15">
      <c r="A42" s="4">
        <v>3</v>
      </c>
      <c r="B42" s="5" t="s">
        <v>19</v>
      </c>
      <c r="C42" s="6">
        <v>44465</v>
      </c>
      <c r="D42" s="5" t="s">
        <v>20</v>
      </c>
      <c r="E42" s="5" t="s">
        <v>17</v>
      </c>
      <c r="F42" t="s">
        <v>37</v>
      </c>
      <c r="G42" s="9" t="s">
        <v>15</v>
      </c>
      <c r="H42" t="s">
        <v>40</v>
      </c>
      <c r="I42" s="7">
        <v>30</v>
      </c>
      <c r="J42" s="5">
        <v>24</v>
      </c>
      <c r="K42" s="5">
        <v>352</v>
      </c>
      <c r="L42" s="5">
        <v>0</v>
      </c>
      <c r="M42" s="5">
        <v>437</v>
      </c>
      <c r="N42" s="8">
        <v>4</v>
      </c>
      <c r="O42">
        <f t="shared" si="0"/>
        <v>6</v>
      </c>
    </row>
    <row r="43" spans="1:15" hidden="1">
      <c r="A43" s="4">
        <v>3</v>
      </c>
      <c r="B43" s="5" t="s">
        <v>19</v>
      </c>
      <c r="C43" s="6">
        <v>44465</v>
      </c>
      <c r="D43" s="5" t="s">
        <v>20</v>
      </c>
      <c r="E43" s="5" t="s">
        <v>17</v>
      </c>
      <c r="F43" t="s">
        <v>44</v>
      </c>
      <c r="G43" s="9" t="s">
        <v>15</v>
      </c>
      <c r="H43" t="s">
        <v>47</v>
      </c>
      <c r="I43" s="7">
        <v>28</v>
      </c>
      <c r="J43" s="5">
        <v>13</v>
      </c>
      <c r="K43" s="5">
        <v>252</v>
      </c>
      <c r="L43" s="5">
        <v>0</v>
      </c>
      <c r="M43" s="5">
        <v>300</v>
      </c>
      <c r="N43" s="8">
        <v>3</v>
      </c>
      <c r="O43">
        <f t="shared" si="0"/>
        <v>15</v>
      </c>
    </row>
    <row r="44" spans="1:15" hidden="1">
      <c r="A44" s="4">
        <v>3</v>
      </c>
      <c r="B44" s="5" t="s">
        <v>19</v>
      </c>
      <c r="C44" s="6">
        <v>44465</v>
      </c>
      <c r="D44" s="5" t="s">
        <v>54</v>
      </c>
      <c r="E44" s="5" t="s">
        <v>15</v>
      </c>
      <c r="F44" t="s">
        <v>42</v>
      </c>
      <c r="G44" s="5" t="s">
        <v>17</v>
      </c>
      <c r="H44" t="s">
        <v>26</v>
      </c>
      <c r="I44" s="7">
        <v>26</v>
      </c>
      <c r="J44" s="5">
        <v>0</v>
      </c>
      <c r="K44" s="5">
        <v>343</v>
      </c>
      <c r="L44" s="5">
        <v>1</v>
      </c>
      <c r="M44" s="5">
        <v>162</v>
      </c>
      <c r="N44" s="8">
        <v>2</v>
      </c>
      <c r="O44">
        <f t="shared" si="0"/>
        <v>26</v>
      </c>
    </row>
    <row r="45" spans="1:15">
      <c r="A45" s="4">
        <v>3</v>
      </c>
      <c r="B45" s="5" t="s">
        <v>19</v>
      </c>
      <c r="C45" s="6">
        <v>44465</v>
      </c>
      <c r="D45" s="5" t="s">
        <v>54</v>
      </c>
      <c r="E45" s="5" t="s">
        <v>15</v>
      </c>
      <c r="F45" t="s">
        <v>52</v>
      </c>
      <c r="G45" s="5" t="s">
        <v>17</v>
      </c>
      <c r="H45" t="s">
        <v>46</v>
      </c>
      <c r="I45" s="7">
        <v>31</v>
      </c>
      <c r="J45" s="5">
        <v>28</v>
      </c>
      <c r="K45" s="5">
        <v>497</v>
      </c>
      <c r="L45" s="5">
        <v>1</v>
      </c>
      <c r="M45" s="5">
        <v>330</v>
      </c>
      <c r="N45" s="8">
        <v>0</v>
      </c>
      <c r="O45">
        <f t="shared" si="0"/>
        <v>3</v>
      </c>
    </row>
    <row r="46" spans="1:15">
      <c r="A46" s="4">
        <v>3</v>
      </c>
      <c r="B46" s="5" t="s">
        <v>19</v>
      </c>
      <c r="C46" s="6">
        <v>44465</v>
      </c>
      <c r="D46" s="5" t="s">
        <v>39</v>
      </c>
      <c r="E46" s="5" t="s">
        <v>15</v>
      </c>
      <c r="F46" t="s">
        <v>28</v>
      </c>
      <c r="G46" s="5" t="s">
        <v>17</v>
      </c>
      <c r="H46" t="s">
        <v>29</v>
      </c>
      <c r="I46" s="7">
        <v>30</v>
      </c>
      <c r="J46" s="5">
        <v>17</v>
      </c>
      <c r="K46" s="5">
        <v>453</v>
      </c>
      <c r="L46" s="5">
        <v>0</v>
      </c>
      <c r="M46" s="5">
        <v>389</v>
      </c>
      <c r="N46" s="8">
        <v>0</v>
      </c>
      <c r="O46">
        <f t="shared" si="0"/>
        <v>13</v>
      </c>
    </row>
    <row r="47" spans="1:15">
      <c r="A47" s="4">
        <v>3</v>
      </c>
      <c r="B47" s="5" t="s">
        <v>19</v>
      </c>
      <c r="C47" s="6">
        <v>44465</v>
      </c>
      <c r="D47" s="5" t="s">
        <v>39</v>
      </c>
      <c r="E47" s="5" t="s">
        <v>15</v>
      </c>
      <c r="F47" t="s">
        <v>48</v>
      </c>
      <c r="G47" s="5" t="s">
        <v>17</v>
      </c>
      <c r="H47" t="s">
        <v>16</v>
      </c>
      <c r="I47" s="7">
        <v>34</v>
      </c>
      <c r="J47" s="5">
        <v>24</v>
      </c>
      <c r="K47" s="5">
        <v>407</v>
      </c>
      <c r="L47" s="5">
        <v>0</v>
      </c>
      <c r="M47" s="5">
        <v>446</v>
      </c>
      <c r="N47" s="8">
        <v>0</v>
      </c>
      <c r="O47">
        <f t="shared" si="0"/>
        <v>10</v>
      </c>
    </row>
    <row r="48" spans="1:15" hidden="1">
      <c r="A48" s="4">
        <v>3</v>
      </c>
      <c r="B48" s="5" t="s">
        <v>19</v>
      </c>
      <c r="C48" s="6">
        <v>44465</v>
      </c>
      <c r="D48" s="5" t="s">
        <v>14</v>
      </c>
      <c r="E48" s="5" t="s">
        <v>17</v>
      </c>
      <c r="F48" t="s">
        <v>45</v>
      </c>
      <c r="G48" s="9" t="s">
        <v>15</v>
      </c>
      <c r="H48" t="s">
        <v>33</v>
      </c>
      <c r="I48" s="7">
        <v>30</v>
      </c>
      <c r="J48" s="5">
        <v>28</v>
      </c>
      <c r="K48" s="5">
        <v>353</v>
      </c>
      <c r="L48" s="5">
        <v>0</v>
      </c>
      <c r="M48" s="5">
        <v>298</v>
      </c>
      <c r="N48" s="8">
        <v>2</v>
      </c>
      <c r="O48">
        <f t="shared" si="0"/>
        <v>2</v>
      </c>
    </row>
    <row r="49" spans="1:15" hidden="1">
      <c r="A49" s="4">
        <v>3</v>
      </c>
      <c r="B49" s="5" t="s">
        <v>50</v>
      </c>
      <c r="C49" s="6">
        <v>44466</v>
      </c>
      <c r="D49" s="5" t="s">
        <v>51</v>
      </c>
      <c r="E49" s="5" t="s">
        <v>15</v>
      </c>
      <c r="F49" t="s">
        <v>18</v>
      </c>
      <c r="G49" s="5" t="s">
        <v>17</v>
      </c>
      <c r="H49" t="s">
        <v>21</v>
      </c>
      <c r="I49" s="7">
        <v>41</v>
      </c>
      <c r="J49" s="5">
        <v>21</v>
      </c>
      <c r="K49" s="5">
        <v>380</v>
      </c>
      <c r="L49" s="5">
        <v>1</v>
      </c>
      <c r="M49" s="5">
        <v>367</v>
      </c>
      <c r="N49" s="8">
        <v>2</v>
      </c>
      <c r="O49">
        <f t="shared" si="0"/>
        <v>20</v>
      </c>
    </row>
    <row r="50" spans="1:15">
      <c r="A50" s="4">
        <v>4</v>
      </c>
      <c r="B50" s="5" t="s">
        <v>13</v>
      </c>
      <c r="C50" s="6">
        <v>44469</v>
      </c>
      <c r="D50" s="5" t="s">
        <v>14</v>
      </c>
      <c r="E50" s="5" t="s">
        <v>15</v>
      </c>
      <c r="F50" t="s">
        <v>27</v>
      </c>
      <c r="G50" s="5" t="s">
        <v>17</v>
      </c>
      <c r="H50" t="s">
        <v>36</v>
      </c>
      <c r="I50" s="7">
        <v>24</v>
      </c>
      <c r="J50" s="5">
        <v>21</v>
      </c>
      <c r="K50" s="5">
        <v>420</v>
      </c>
      <c r="L50" s="5">
        <v>0</v>
      </c>
      <c r="M50" s="5">
        <v>341</v>
      </c>
      <c r="N50" s="8">
        <v>0</v>
      </c>
      <c r="O50">
        <f t="shared" si="0"/>
        <v>3</v>
      </c>
    </row>
    <row r="51" spans="1:15">
      <c r="A51" s="4">
        <v>4</v>
      </c>
      <c r="B51" s="5" t="s">
        <v>19</v>
      </c>
      <c r="C51" s="6">
        <v>44472</v>
      </c>
      <c r="D51" s="5" t="s">
        <v>20</v>
      </c>
      <c r="E51" s="5" t="s">
        <v>17</v>
      </c>
      <c r="F51" t="s">
        <v>38</v>
      </c>
      <c r="G51" s="9" t="s">
        <v>15</v>
      </c>
      <c r="H51" t="s">
        <v>22</v>
      </c>
      <c r="I51" s="7">
        <v>34</v>
      </c>
      <c r="J51" s="5">
        <v>30</v>
      </c>
      <c r="K51" s="5">
        <v>412</v>
      </c>
      <c r="L51" s="5">
        <v>0</v>
      </c>
      <c r="M51" s="5">
        <v>374</v>
      </c>
      <c r="N51" s="8">
        <v>0</v>
      </c>
      <c r="O51">
        <f t="shared" si="0"/>
        <v>4</v>
      </c>
    </row>
    <row r="52" spans="1:15">
      <c r="A52" s="4">
        <v>4</v>
      </c>
      <c r="B52" s="5" t="s">
        <v>19</v>
      </c>
      <c r="C52" s="6">
        <v>44472</v>
      </c>
      <c r="D52" s="5" t="s">
        <v>20</v>
      </c>
      <c r="E52" s="5" t="s">
        <v>15</v>
      </c>
      <c r="F52" t="s">
        <v>24</v>
      </c>
      <c r="G52" s="5" t="s">
        <v>17</v>
      </c>
      <c r="H52" t="s">
        <v>35</v>
      </c>
      <c r="I52" s="7">
        <v>40</v>
      </c>
      <c r="J52" s="5">
        <v>0</v>
      </c>
      <c r="K52" s="5">
        <v>450</v>
      </c>
      <c r="L52" s="5">
        <v>1</v>
      </c>
      <c r="M52" s="5">
        <v>109</v>
      </c>
      <c r="N52" s="8">
        <v>5</v>
      </c>
      <c r="O52">
        <f t="shared" si="0"/>
        <v>40</v>
      </c>
    </row>
    <row r="53" spans="1:15" hidden="1">
      <c r="A53" s="4">
        <v>4</v>
      </c>
      <c r="B53" s="5" t="s">
        <v>19</v>
      </c>
      <c r="C53" s="6">
        <v>44472</v>
      </c>
      <c r="D53" s="5" t="s">
        <v>20</v>
      </c>
      <c r="E53" s="5" t="s">
        <v>15</v>
      </c>
      <c r="F53" t="s">
        <v>18</v>
      </c>
      <c r="G53" s="5" t="s">
        <v>17</v>
      </c>
      <c r="H53" t="s">
        <v>25</v>
      </c>
      <c r="I53" s="7">
        <v>36</v>
      </c>
      <c r="J53" s="5">
        <v>28</v>
      </c>
      <c r="K53" s="5">
        <v>433</v>
      </c>
      <c r="L53" s="5">
        <v>0</v>
      </c>
      <c r="M53" s="5">
        <v>379</v>
      </c>
      <c r="N53" s="8">
        <v>2</v>
      </c>
      <c r="O53">
        <f t="shared" si="0"/>
        <v>8</v>
      </c>
    </row>
    <row r="54" spans="1:15" hidden="1">
      <c r="A54" s="4">
        <v>4</v>
      </c>
      <c r="B54" s="5" t="s">
        <v>19</v>
      </c>
      <c r="C54" s="6">
        <v>44472</v>
      </c>
      <c r="D54" s="5" t="s">
        <v>20</v>
      </c>
      <c r="E54" s="5" t="s">
        <v>15</v>
      </c>
      <c r="F54" t="s">
        <v>49</v>
      </c>
      <c r="G54" s="5" t="s">
        <v>17</v>
      </c>
      <c r="H54" t="s">
        <v>34</v>
      </c>
      <c r="I54" s="7">
        <v>24</v>
      </c>
      <c r="J54" s="5">
        <v>14</v>
      </c>
      <c r="K54" s="5">
        <v>373</v>
      </c>
      <c r="L54" s="5">
        <v>1</v>
      </c>
      <c r="M54" s="5">
        <v>351</v>
      </c>
      <c r="N54" s="8">
        <v>2</v>
      </c>
      <c r="O54">
        <f t="shared" si="0"/>
        <v>10</v>
      </c>
    </row>
    <row r="55" spans="1:15" hidden="1">
      <c r="A55" s="4">
        <v>4</v>
      </c>
      <c r="B55" s="5" t="s">
        <v>19</v>
      </c>
      <c r="C55" s="6">
        <v>44472</v>
      </c>
      <c r="D55" s="5" t="s">
        <v>20</v>
      </c>
      <c r="E55" s="5" t="s">
        <v>17</v>
      </c>
      <c r="F55" t="s">
        <v>41</v>
      </c>
      <c r="G55" s="9" t="s">
        <v>15</v>
      </c>
      <c r="H55" t="s">
        <v>28</v>
      </c>
      <c r="I55" s="7">
        <v>14</v>
      </c>
      <c r="J55" s="5">
        <v>7</v>
      </c>
      <c r="K55" s="5">
        <v>327</v>
      </c>
      <c r="L55" s="5">
        <v>0</v>
      </c>
      <c r="M55" s="5">
        <v>255</v>
      </c>
      <c r="N55" s="8">
        <v>1</v>
      </c>
      <c r="O55">
        <f t="shared" si="0"/>
        <v>7</v>
      </c>
    </row>
    <row r="56" spans="1:15" hidden="1">
      <c r="A56" s="4">
        <v>4</v>
      </c>
      <c r="B56" s="5" t="s">
        <v>19</v>
      </c>
      <c r="C56" s="6">
        <v>44472</v>
      </c>
      <c r="D56" s="5" t="s">
        <v>20</v>
      </c>
      <c r="E56" s="5" t="s">
        <v>17</v>
      </c>
      <c r="F56" t="s">
        <v>30</v>
      </c>
      <c r="G56" s="9" t="s">
        <v>15</v>
      </c>
      <c r="H56" t="s">
        <v>46</v>
      </c>
      <c r="I56" s="7">
        <v>27</v>
      </c>
      <c r="J56" s="5">
        <v>17</v>
      </c>
      <c r="K56" s="5">
        <v>349</v>
      </c>
      <c r="L56" s="5">
        <v>1</v>
      </c>
      <c r="M56" s="5">
        <v>203</v>
      </c>
      <c r="N56" s="8">
        <v>2</v>
      </c>
      <c r="O56">
        <f t="shared" si="0"/>
        <v>10</v>
      </c>
    </row>
    <row r="57" spans="1:15">
      <c r="A57" s="4">
        <v>4</v>
      </c>
      <c r="B57" s="5" t="s">
        <v>19</v>
      </c>
      <c r="C57" s="6">
        <v>44472</v>
      </c>
      <c r="D57" s="5" t="s">
        <v>20</v>
      </c>
      <c r="E57" s="5" t="s">
        <v>17</v>
      </c>
      <c r="F57" t="s">
        <v>40</v>
      </c>
      <c r="G57" s="9" t="s">
        <v>15</v>
      </c>
      <c r="H57" t="s">
        <v>21</v>
      </c>
      <c r="I57" s="7">
        <v>42</v>
      </c>
      <c r="J57" s="5">
        <v>30</v>
      </c>
      <c r="K57" s="5">
        <v>471</v>
      </c>
      <c r="L57" s="5">
        <v>1</v>
      </c>
      <c r="M57" s="5">
        <v>461</v>
      </c>
      <c r="N57" s="8">
        <v>0</v>
      </c>
      <c r="O57">
        <f t="shared" si="0"/>
        <v>12</v>
      </c>
    </row>
    <row r="58" spans="1:15" hidden="1">
      <c r="A58" s="4">
        <v>4</v>
      </c>
      <c r="B58" s="5" t="s">
        <v>19</v>
      </c>
      <c r="C58" s="6">
        <v>44472</v>
      </c>
      <c r="D58" s="5" t="s">
        <v>20</v>
      </c>
      <c r="E58" s="5" t="s">
        <v>17</v>
      </c>
      <c r="F58" t="s">
        <v>43</v>
      </c>
      <c r="G58" s="9" t="s">
        <v>15</v>
      </c>
      <c r="H58" t="s">
        <v>44</v>
      </c>
      <c r="I58" s="7">
        <v>27</v>
      </c>
      <c r="J58" s="5">
        <v>21</v>
      </c>
      <c r="K58" s="5">
        <v>485</v>
      </c>
      <c r="L58" s="5">
        <v>1</v>
      </c>
      <c r="M58" s="5">
        <v>405</v>
      </c>
      <c r="N58" s="8">
        <v>1</v>
      </c>
      <c r="O58">
        <f t="shared" si="0"/>
        <v>6</v>
      </c>
    </row>
    <row r="59" spans="1:15">
      <c r="A59" s="4">
        <v>4</v>
      </c>
      <c r="B59" s="5" t="s">
        <v>19</v>
      </c>
      <c r="C59" s="6">
        <v>44472</v>
      </c>
      <c r="D59" s="5" t="s">
        <v>20</v>
      </c>
      <c r="E59" s="5" t="s">
        <v>15</v>
      </c>
      <c r="F59" t="s">
        <v>26</v>
      </c>
      <c r="G59" s="5" t="s">
        <v>17</v>
      </c>
      <c r="H59" t="s">
        <v>32</v>
      </c>
      <c r="I59" s="7">
        <v>27</v>
      </c>
      <c r="J59" s="5">
        <v>24</v>
      </c>
      <c r="K59" s="5">
        <v>355</v>
      </c>
      <c r="L59" s="5">
        <v>1</v>
      </c>
      <c r="M59" s="5">
        <v>430</v>
      </c>
      <c r="N59" s="8">
        <v>0</v>
      </c>
      <c r="O59">
        <f t="shared" si="0"/>
        <v>3</v>
      </c>
    </row>
    <row r="60" spans="1:15" hidden="1">
      <c r="A60" s="4">
        <v>4</v>
      </c>
      <c r="B60" s="5" t="s">
        <v>19</v>
      </c>
      <c r="C60" s="6">
        <v>44472</v>
      </c>
      <c r="D60" s="5" t="s">
        <v>54</v>
      </c>
      <c r="E60" s="5" t="s">
        <v>17</v>
      </c>
      <c r="F60" t="s">
        <v>31</v>
      </c>
      <c r="G60" s="9" t="s">
        <v>15</v>
      </c>
      <c r="H60" t="s">
        <v>48</v>
      </c>
      <c r="I60" s="7">
        <v>37</v>
      </c>
      <c r="J60" s="5">
        <v>20</v>
      </c>
      <c r="K60" s="5">
        <v>465</v>
      </c>
      <c r="L60" s="5">
        <v>0</v>
      </c>
      <c r="M60" s="5">
        <v>401</v>
      </c>
      <c r="N60" s="8">
        <v>2</v>
      </c>
      <c r="O60">
        <f t="shared" si="0"/>
        <v>17</v>
      </c>
    </row>
    <row r="61" spans="1:15" hidden="1">
      <c r="A61" s="4">
        <v>4</v>
      </c>
      <c r="B61" s="5" t="s">
        <v>19</v>
      </c>
      <c r="C61" s="6">
        <v>44472</v>
      </c>
      <c r="D61" s="5" t="s">
        <v>54</v>
      </c>
      <c r="E61" s="5" t="s">
        <v>17</v>
      </c>
      <c r="F61" t="s">
        <v>29</v>
      </c>
      <c r="G61" s="9" t="s">
        <v>15</v>
      </c>
      <c r="H61" t="s">
        <v>33</v>
      </c>
      <c r="I61" s="7">
        <v>28</v>
      </c>
      <c r="J61" s="5">
        <v>21</v>
      </c>
      <c r="K61" s="5">
        <v>234</v>
      </c>
      <c r="L61" s="5">
        <v>0</v>
      </c>
      <c r="M61" s="5">
        <v>457</v>
      </c>
      <c r="N61" s="8">
        <v>2</v>
      </c>
      <c r="O61">
        <f t="shared" si="0"/>
        <v>7</v>
      </c>
    </row>
    <row r="62" spans="1:15" hidden="1">
      <c r="A62" s="4">
        <v>4</v>
      </c>
      <c r="B62" s="5" t="s">
        <v>19</v>
      </c>
      <c r="C62" s="6">
        <v>44472</v>
      </c>
      <c r="D62" s="5" t="s">
        <v>39</v>
      </c>
      <c r="E62" s="5" t="s">
        <v>17</v>
      </c>
      <c r="F62" t="s">
        <v>53</v>
      </c>
      <c r="G62" s="9" t="s">
        <v>15</v>
      </c>
      <c r="H62" t="s">
        <v>42</v>
      </c>
      <c r="I62" s="7">
        <v>23</v>
      </c>
      <c r="J62" s="5">
        <v>7</v>
      </c>
      <c r="K62" s="5">
        <v>406</v>
      </c>
      <c r="L62" s="5">
        <v>0</v>
      </c>
      <c r="M62" s="5">
        <v>254</v>
      </c>
      <c r="N62" s="8">
        <v>1</v>
      </c>
      <c r="O62">
        <f t="shared" si="0"/>
        <v>16</v>
      </c>
    </row>
    <row r="63" spans="1:15" hidden="1">
      <c r="A63" s="4">
        <v>4</v>
      </c>
      <c r="B63" s="5" t="s">
        <v>19</v>
      </c>
      <c r="C63" s="6">
        <v>44472</v>
      </c>
      <c r="D63" s="5" t="s">
        <v>39</v>
      </c>
      <c r="E63" s="5" t="s">
        <v>15</v>
      </c>
      <c r="F63" t="s">
        <v>45</v>
      </c>
      <c r="G63" s="5" t="s">
        <v>17</v>
      </c>
      <c r="H63" t="s">
        <v>23</v>
      </c>
      <c r="I63" s="7">
        <v>27</v>
      </c>
      <c r="J63" s="5">
        <v>17</v>
      </c>
      <c r="K63" s="5">
        <v>367</v>
      </c>
      <c r="L63" s="5">
        <v>1</v>
      </c>
      <c r="M63" s="5">
        <v>282</v>
      </c>
      <c r="N63" s="8">
        <v>2</v>
      </c>
      <c r="O63">
        <f t="shared" si="0"/>
        <v>10</v>
      </c>
    </row>
    <row r="64" spans="1:15" hidden="1">
      <c r="A64" s="4">
        <v>4</v>
      </c>
      <c r="B64" s="5" t="s">
        <v>19</v>
      </c>
      <c r="C64" s="6">
        <v>44472</v>
      </c>
      <c r="D64" s="5" t="s">
        <v>14</v>
      </c>
      <c r="E64" s="5" t="s">
        <v>17</v>
      </c>
      <c r="F64" t="s">
        <v>16</v>
      </c>
      <c r="G64" s="9" t="s">
        <v>15</v>
      </c>
      <c r="H64" t="s">
        <v>47</v>
      </c>
      <c r="I64" s="7">
        <v>19</v>
      </c>
      <c r="J64" s="5">
        <v>17</v>
      </c>
      <c r="K64" s="5">
        <v>381</v>
      </c>
      <c r="L64" s="5">
        <v>0</v>
      </c>
      <c r="M64" s="5">
        <v>294</v>
      </c>
      <c r="N64" s="8">
        <v>2</v>
      </c>
      <c r="O64">
        <f t="shared" si="0"/>
        <v>2</v>
      </c>
    </row>
    <row r="65" spans="1:15" hidden="1">
      <c r="A65" s="4">
        <v>4</v>
      </c>
      <c r="B65" s="5" t="s">
        <v>50</v>
      </c>
      <c r="C65" s="6">
        <v>44473</v>
      </c>
      <c r="D65" s="5" t="s">
        <v>51</v>
      </c>
      <c r="E65" s="5" t="s">
        <v>15</v>
      </c>
      <c r="F65" t="s">
        <v>37</v>
      </c>
      <c r="G65" s="5" t="s">
        <v>17</v>
      </c>
      <c r="H65" t="s">
        <v>52</v>
      </c>
      <c r="I65" s="7">
        <v>28</v>
      </c>
      <c r="J65" s="5">
        <v>14</v>
      </c>
      <c r="K65" s="5">
        <v>380</v>
      </c>
      <c r="L65" s="5">
        <v>0</v>
      </c>
      <c r="M65" s="5">
        <v>213</v>
      </c>
      <c r="N65" s="8">
        <v>1</v>
      </c>
      <c r="O65">
        <f t="shared" si="0"/>
        <v>14</v>
      </c>
    </row>
    <row r="66" spans="1:15" hidden="1">
      <c r="A66" s="4">
        <v>5</v>
      </c>
      <c r="B66" s="5" t="s">
        <v>13</v>
      </c>
      <c r="C66" s="6">
        <v>44476</v>
      </c>
      <c r="D66" s="5" t="s">
        <v>14</v>
      </c>
      <c r="E66" s="5" t="s">
        <v>17</v>
      </c>
      <c r="F66" t="s">
        <v>48</v>
      </c>
      <c r="G66" s="9" t="s">
        <v>15</v>
      </c>
      <c r="H66" t="s">
        <v>29</v>
      </c>
      <c r="I66" s="7">
        <v>26</v>
      </c>
      <c r="J66" s="5">
        <v>17</v>
      </c>
      <c r="K66" s="5">
        <v>476</v>
      </c>
      <c r="L66" s="5">
        <v>1</v>
      </c>
      <c r="M66" s="5">
        <v>354</v>
      </c>
      <c r="N66" s="8">
        <v>2</v>
      </c>
      <c r="O66">
        <f t="shared" si="0"/>
        <v>9</v>
      </c>
    </row>
    <row r="67" spans="1:15" hidden="1">
      <c r="A67" s="4">
        <v>5</v>
      </c>
      <c r="B67" s="5" t="s">
        <v>19</v>
      </c>
      <c r="C67" s="6">
        <v>44479</v>
      </c>
      <c r="D67" s="5" t="s">
        <v>55</v>
      </c>
      <c r="E67" s="5" t="s">
        <v>15</v>
      </c>
      <c r="F67" t="s">
        <v>22</v>
      </c>
      <c r="G67" s="5" t="s">
        <v>17</v>
      </c>
      <c r="H67" t="s">
        <v>26</v>
      </c>
      <c r="I67" s="7">
        <v>27</v>
      </c>
      <c r="J67" s="5">
        <v>20</v>
      </c>
      <c r="K67" s="5">
        <v>450</v>
      </c>
      <c r="L67" s="5">
        <v>2</v>
      </c>
      <c r="M67" s="5">
        <v>230</v>
      </c>
      <c r="N67" s="8">
        <v>1</v>
      </c>
      <c r="O67">
        <f t="shared" ref="O67:O130" si="1">I67-J67</f>
        <v>7</v>
      </c>
    </row>
    <row r="68" spans="1:15" hidden="1">
      <c r="A68" s="4">
        <v>5</v>
      </c>
      <c r="B68" s="5" t="s">
        <v>19</v>
      </c>
      <c r="C68" s="6">
        <v>44479</v>
      </c>
      <c r="D68" s="5" t="s">
        <v>20</v>
      </c>
      <c r="E68" s="5" t="s">
        <v>17</v>
      </c>
      <c r="F68" t="s">
        <v>21</v>
      </c>
      <c r="G68" s="9" t="s">
        <v>15</v>
      </c>
      <c r="H68" t="s">
        <v>25</v>
      </c>
      <c r="I68" s="7">
        <v>21</v>
      </c>
      <c r="J68" s="5">
        <v>18</v>
      </c>
      <c r="K68" s="5">
        <v>273</v>
      </c>
      <c r="L68" s="5">
        <v>2</v>
      </c>
      <c r="M68" s="5">
        <v>267</v>
      </c>
      <c r="N68" s="8">
        <v>3</v>
      </c>
      <c r="O68">
        <f t="shared" si="1"/>
        <v>3</v>
      </c>
    </row>
    <row r="69" spans="1:15" hidden="1">
      <c r="A69" s="4">
        <v>5</v>
      </c>
      <c r="B69" s="5" t="s">
        <v>19</v>
      </c>
      <c r="C69" s="6">
        <v>44479</v>
      </c>
      <c r="D69" s="5" t="s">
        <v>20</v>
      </c>
      <c r="E69" s="5" t="s">
        <v>17</v>
      </c>
      <c r="F69" t="s">
        <v>45</v>
      </c>
      <c r="G69" s="9" t="s">
        <v>15</v>
      </c>
      <c r="H69" t="s">
        <v>27</v>
      </c>
      <c r="I69" s="7">
        <v>25</v>
      </c>
      <c r="J69" s="5">
        <v>22</v>
      </c>
      <c r="K69" s="5">
        <v>466</v>
      </c>
      <c r="L69" s="5">
        <v>1</v>
      </c>
      <c r="M69" s="5">
        <v>367</v>
      </c>
      <c r="N69" s="8">
        <v>2</v>
      </c>
      <c r="O69">
        <f t="shared" si="1"/>
        <v>3</v>
      </c>
    </row>
    <row r="70" spans="1:15" hidden="1">
      <c r="A70" s="4">
        <v>5</v>
      </c>
      <c r="B70" s="5" t="s">
        <v>19</v>
      </c>
      <c r="C70" s="6">
        <v>44479</v>
      </c>
      <c r="D70" s="5" t="s">
        <v>20</v>
      </c>
      <c r="E70" s="5" t="s">
        <v>15</v>
      </c>
      <c r="F70" t="s">
        <v>23</v>
      </c>
      <c r="G70" s="5" t="s">
        <v>17</v>
      </c>
      <c r="H70" t="s">
        <v>42</v>
      </c>
      <c r="I70" s="7">
        <v>27</v>
      </c>
      <c r="J70" s="5">
        <v>19</v>
      </c>
      <c r="K70" s="5">
        <v>391</v>
      </c>
      <c r="L70" s="5">
        <v>1</v>
      </c>
      <c r="M70" s="5">
        <v>374</v>
      </c>
      <c r="N70" s="8">
        <v>1</v>
      </c>
      <c r="O70">
        <f t="shared" si="1"/>
        <v>8</v>
      </c>
    </row>
    <row r="71" spans="1:15" hidden="1">
      <c r="A71" s="4">
        <v>5</v>
      </c>
      <c r="B71" s="5" t="s">
        <v>19</v>
      </c>
      <c r="C71" s="6">
        <v>44479</v>
      </c>
      <c r="D71" s="5" t="s">
        <v>20</v>
      </c>
      <c r="E71" s="5" t="s">
        <v>15</v>
      </c>
      <c r="F71" t="s">
        <v>28</v>
      </c>
      <c r="G71" s="5" t="s">
        <v>17</v>
      </c>
      <c r="H71" t="s">
        <v>34</v>
      </c>
      <c r="I71" s="7">
        <v>19</v>
      </c>
      <c r="J71" s="5">
        <v>17</v>
      </c>
      <c r="K71" s="5">
        <v>384</v>
      </c>
      <c r="L71" s="5">
        <v>2</v>
      </c>
      <c r="M71" s="5">
        <v>288</v>
      </c>
      <c r="N71" s="8">
        <v>2</v>
      </c>
      <c r="O71">
        <f t="shared" si="1"/>
        <v>2</v>
      </c>
    </row>
    <row r="72" spans="1:15" hidden="1">
      <c r="A72" s="4">
        <v>5</v>
      </c>
      <c r="B72" s="5" t="s">
        <v>19</v>
      </c>
      <c r="C72" s="6">
        <v>44479</v>
      </c>
      <c r="D72" s="5" t="s">
        <v>20</v>
      </c>
      <c r="E72" s="5" t="s">
        <v>17</v>
      </c>
      <c r="F72" t="s">
        <v>47</v>
      </c>
      <c r="G72" s="9" t="s">
        <v>15</v>
      </c>
      <c r="H72" t="s">
        <v>35</v>
      </c>
      <c r="I72" s="7">
        <v>25</v>
      </c>
      <c r="J72" s="5">
        <v>22</v>
      </c>
      <c r="K72" s="5">
        <v>352</v>
      </c>
      <c r="L72" s="5">
        <v>2</v>
      </c>
      <c r="M72" s="5">
        <v>360</v>
      </c>
      <c r="N72" s="8">
        <v>1</v>
      </c>
      <c r="O72">
        <f t="shared" si="1"/>
        <v>3</v>
      </c>
    </row>
    <row r="73" spans="1:15" hidden="1">
      <c r="A73" s="4">
        <v>5</v>
      </c>
      <c r="B73" s="5" t="s">
        <v>19</v>
      </c>
      <c r="C73" s="6">
        <v>44479</v>
      </c>
      <c r="D73" s="5" t="s">
        <v>20</v>
      </c>
      <c r="E73" s="5" t="s">
        <v>17</v>
      </c>
      <c r="F73" t="s">
        <v>32</v>
      </c>
      <c r="G73" s="9" t="s">
        <v>15</v>
      </c>
      <c r="H73" t="s">
        <v>36</v>
      </c>
      <c r="I73" s="7">
        <v>37</v>
      </c>
      <c r="J73" s="5">
        <v>19</v>
      </c>
      <c r="K73" s="5">
        <v>368</v>
      </c>
      <c r="L73" s="5">
        <v>0</v>
      </c>
      <c r="M73" s="5">
        <v>454</v>
      </c>
      <c r="N73" s="8">
        <v>2</v>
      </c>
      <c r="O73">
        <f t="shared" si="1"/>
        <v>18</v>
      </c>
    </row>
    <row r="74" spans="1:15" hidden="1">
      <c r="A74" s="4">
        <v>5</v>
      </c>
      <c r="B74" s="5" t="s">
        <v>19</v>
      </c>
      <c r="C74" s="6">
        <v>44479</v>
      </c>
      <c r="D74" s="5" t="s">
        <v>20</v>
      </c>
      <c r="E74" s="5" t="s">
        <v>15</v>
      </c>
      <c r="F74" t="s">
        <v>16</v>
      </c>
      <c r="G74" s="5" t="s">
        <v>17</v>
      </c>
      <c r="H74" t="s">
        <v>46</v>
      </c>
      <c r="I74" s="7">
        <v>45</v>
      </c>
      <c r="J74" s="5">
        <v>17</v>
      </c>
      <c r="K74" s="5">
        <v>558</v>
      </c>
      <c r="L74" s="5">
        <v>0</v>
      </c>
      <c r="M74" s="5">
        <v>301</v>
      </c>
      <c r="N74" s="8">
        <v>2</v>
      </c>
      <c r="O74">
        <f t="shared" si="1"/>
        <v>28</v>
      </c>
    </row>
    <row r="75" spans="1:15" hidden="1">
      <c r="A75" s="4">
        <v>5</v>
      </c>
      <c r="B75" s="5" t="s">
        <v>19</v>
      </c>
      <c r="C75" s="6">
        <v>44479</v>
      </c>
      <c r="D75" s="5" t="s">
        <v>20</v>
      </c>
      <c r="E75" s="5" t="s">
        <v>17</v>
      </c>
      <c r="F75" t="s">
        <v>44</v>
      </c>
      <c r="G75" s="9" t="s">
        <v>15</v>
      </c>
      <c r="H75" t="s">
        <v>38</v>
      </c>
      <c r="I75" s="7">
        <v>33</v>
      </c>
      <c r="J75" s="5">
        <v>22</v>
      </c>
      <c r="K75" s="5">
        <v>369</v>
      </c>
      <c r="L75" s="5">
        <v>2</v>
      </c>
      <c r="M75" s="5">
        <v>373</v>
      </c>
      <c r="N75" s="8">
        <v>2</v>
      </c>
      <c r="O75">
        <f t="shared" si="1"/>
        <v>11</v>
      </c>
    </row>
    <row r="76" spans="1:15" hidden="1">
      <c r="A76" s="4">
        <v>5</v>
      </c>
      <c r="B76" s="5" t="s">
        <v>19</v>
      </c>
      <c r="C76" s="6">
        <v>44479</v>
      </c>
      <c r="D76" s="5" t="s">
        <v>54</v>
      </c>
      <c r="E76" s="5" t="s">
        <v>17</v>
      </c>
      <c r="F76" t="s">
        <v>49</v>
      </c>
      <c r="G76" s="9" t="s">
        <v>15</v>
      </c>
      <c r="H76" t="s">
        <v>52</v>
      </c>
      <c r="I76" s="7">
        <v>20</v>
      </c>
      <c r="J76" s="5">
        <v>9</v>
      </c>
      <c r="K76" s="5">
        <v>252</v>
      </c>
      <c r="L76" s="5">
        <v>0</v>
      </c>
      <c r="M76" s="5">
        <v>259</v>
      </c>
      <c r="N76" s="8">
        <v>1</v>
      </c>
      <c r="O76">
        <f t="shared" si="1"/>
        <v>11</v>
      </c>
    </row>
    <row r="77" spans="1:15">
      <c r="A77" s="4">
        <v>5</v>
      </c>
      <c r="B77" s="5" t="s">
        <v>19</v>
      </c>
      <c r="C77" s="6">
        <v>44479</v>
      </c>
      <c r="D77" s="5" t="s">
        <v>54</v>
      </c>
      <c r="E77" s="5" t="s">
        <v>15</v>
      </c>
      <c r="F77" t="s">
        <v>37</v>
      </c>
      <c r="G77" s="5" t="s">
        <v>17</v>
      </c>
      <c r="H77" t="s">
        <v>41</v>
      </c>
      <c r="I77" s="7">
        <v>47</v>
      </c>
      <c r="J77" s="5">
        <v>42</v>
      </c>
      <c r="K77" s="5">
        <v>493</v>
      </c>
      <c r="L77" s="5">
        <v>1</v>
      </c>
      <c r="M77" s="5">
        <v>531</v>
      </c>
      <c r="N77" s="8">
        <v>0</v>
      </c>
      <c r="O77">
        <f t="shared" si="1"/>
        <v>5</v>
      </c>
    </row>
    <row r="78" spans="1:15" hidden="1">
      <c r="A78" s="4">
        <v>5</v>
      </c>
      <c r="B78" s="5" t="s">
        <v>19</v>
      </c>
      <c r="C78" s="6">
        <v>44479</v>
      </c>
      <c r="D78" s="5" t="s">
        <v>39</v>
      </c>
      <c r="E78" s="5" t="s">
        <v>15</v>
      </c>
      <c r="F78" t="s">
        <v>31</v>
      </c>
      <c r="G78" s="5" t="s">
        <v>17</v>
      </c>
      <c r="H78" t="s">
        <v>33</v>
      </c>
      <c r="I78" s="7">
        <v>17</v>
      </c>
      <c r="J78" s="5">
        <v>10</v>
      </c>
      <c r="K78" s="5">
        <v>304</v>
      </c>
      <c r="L78" s="5">
        <v>1</v>
      </c>
      <c r="M78" s="5">
        <v>338</v>
      </c>
      <c r="N78" s="8">
        <v>1</v>
      </c>
      <c r="O78">
        <f t="shared" si="1"/>
        <v>7</v>
      </c>
    </row>
    <row r="79" spans="1:15" hidden="1">
      <c r="A79" s="4">
        <v>5</v>
      </c>
      <c r="B79" s="5" t="s">
        <v>19</v>
      </c>
      <c r="C79" s="6">
        <v>44479</v>
      </c>
      <c r="D79" s="5" t="s">
        <v>39</v>
      </c>
      <c r="E79" s="5" t="s">
        <v>15</v>
      </c>
      <c r="F79" t="s">
        <v>18</v>
      </c>
      <c r="G79" s="5" t="s">
        <v>17</v>
      </c>
      <c r="H79" t="s">
        <v>43</v>
      </c>
      <c r="I79" s="7">
        <v>44</v>
      </c>
      <c r="J79" s="5">
        <v>20</v>
      </c>
      <c r="K79" s="5">
        <v>515</v>
      </c>
      <c r="L79" s="5">
        <v>2</v>
      </c>
      <c r="M79" s="5">
        <v>367</v>
      </c>
      <c r="N79" s="8">
        <v>2</v>
      </c>
      <c r="O79">
        <f t="shared" si="1"/>
        <v>24</v>
      </c>
    </row>
    <row r="80" spans="1:15">
      <c r="A80" s="4">
        <v>5</v>
      </c>
      <c r="B80" s="5" t="s">
        <v>19</v>
      </c>
      <c r="C80" s="6">
        <v>44479</v>
      </c>
      <c r="D80" s="5" t="s">
        <v>14</v>
      </c>
      <c r="E80" s="5" t="s">
        <v>17</v>
      </c>
      <c r="F80" t="s">
        <v>24</v>
      </c>
      <c r="G80" s="9" t="s">
        <v>15</v>
      </c>
      <c r="H80" t="s">
        <v>40</v>
      </c>
      <c r="I80" s="7">
        <v>38</v>
      </c>
      <c r="J80" s="5">
        <v>20</v>
      </c>
      <c r="K80" s="5">
        <v>436</v>
      </c>
      <c r="L80" s="5">
        <v>0</v>
      </c>
      <c r="M80" s="5">
        <v>392</v>
      </c>
      <c r="N80" s="8">
        <v>4</v>
      </c>
      <c r="O80">
        <f t="shared" si="1"/>
        <v>18</v>
      </c>
    </row>
    <row r="81" spans="1:15" hidden="1">
      <c r="A81" s="4">
        <v>5</v>
      </c>
      <c r="B81" s="5" t="s">
        <v>50</v>
      </c>
      <c r="C81" s="6">
        <v>44480</v>
      </c>
      <c r="D81" s="5" t="s">
        <v>51</v>
      </c>
      <c r="E81" s="5" t="s">
        <v>15</v>
      </c>
      <c r="F81" t="s">
        <v>53</v>
      </c>
      <c r="G81" s="5" t="s">
        <v>17</v>
      </c>
      <c r="H81" t="s">
        <v>30</v>
      </c>
      <c r="I81" s="7">
        <v>31</v>
      </c>
      <c r="J81" s="5">
        <v>25</v>
      </c>
      <c r="K81" s="5">
        <v>523</v>
      </c>
      <c r="L81" s="5">
        <v>1</v>
      </c>
      <c r="M81" s="5">
        <v>513</v>
      </c>
      <c r="N81" s="8">
        <v>1</v>
      </c>
      <c r="O81">
        <f t="shared" si="1"/>
        <v>6</v>
      </c>
    </row>
    <row r="82" spans="1:15" hidden="1">
      <c r="A82" s="4">
        <v>6</v>
      </c>
      <c r="B82" s="5" t="s">
        <v>13</v>
      </c>
      <c r="C82" s="6">
        <v>44483</v>
      </c>
      <c r="D82" s="5" t="s">
        <v>14</v>
      </c>
      <c r="E82" s="5" t="s">
        <v>17</v>
      </c>
      <c r="F82" t="s">
        <v>16</v>
      </c>
      <c r="G82" s="9" t="s">
        <v>15</v>
      </c>
      <c r="H82" t="s">
        <v>21</v>
      </c>
      <c r="I82" s="7">
        <v>28</v>
      </c>
      <c r="J82" s="5">
        <v>22</v>
      </c>
      <c r="K82" s="5">
        <v>399</v>
      </c>
      <c r="L82" s="5">
        <v>1</v>
      </c>
      <c r="M82" s="5">
        <v>213</v>
      </c>
      <c r="N82" s="8">
        <v>1</v>
      </c>
      <c r="O82">
        <f t="shared" si="1"/>
        <v>6</v>
      </c>
    </row>
    <row r="83" spans="1:15" hidden="1">
      <c r="A83" s="4">
        <v>6</v>
      </c>
      <c r="B83" s="5" t="s">
        <v>19</v>
      </c>
      <c r="C83" s="6">
        <v>44486</v>
      </c>
      <c r="D83" s="5" t="s">
        <v>55</v>
      </c>
      <c r="E83" s="5" t="s">
        <v>15</v>
      </c>
      <c r="F83" t="s">
        <v>36</v>
      </c>
      <c r="G83" s="5" t="s">
        <v>17</v>
      </c>
      <c r="H83" t="s">
        <v>46</v>
      </c>
      <c r="I83" s="7">
        <v>23</v>
      </c>
      <c r="J83" s="5">
        <v>20</v>
      </c>
      <c r="K83" s="5">
        <v>396</v>
      </c>
      <c r="L83" s="5">
        <v>1</v>
      </c>
      <c r="M83" s="5">
        <v>431</v>
      </c>
      <c r="N83" s="8">
        <v>1</v>
      </c>
      <c r="O83">
        <f t="shared" si="1"/>
        <v>3</v>
      </c>
    </row>
    <row r="84" spans="1:15" hidden="1">
      <c r="A84" s="4">
        <v>6</v>
      </c>
      <c r="B84" s="5" t="s">
        <v>19</v>
      </c>
      <c r="C84" s="6">
        <v>44486</v>
      </c>
      <c r="D84" s="5" t="s">
        <v>20</v>
      </c>
      <c r="E84" s="5" t="s">
        <v>17</v>
      </c>
      <c r="F84" t="s">
        <v>28</v>
      </c>
      <c r="G84" s="9" t="s">
        <v>15</v>
      </c>
      <c r="H84" t="s">
        <v>25</v>
      </c>
      <c r="I84" s="7">
        <v>34</v>
      </c>
      <c r="J84" s="5">
        <v>28</v>
      </c>
      <c r="K84" s="5">
        <v>571</v>
      </c>
      <c r="L84" s="5">
        <v>1</v>
      </c>
      <c r="M84" s="5">
        <v>306</v>
      </c>
      <c r="N84" s="8">
        <v>3</v>
      </c>
      <c r="O84">
        <f t="shared" si="1"/>
        <v>6</v>
      </c>
    </row>
    <row r="85" spans="1:15" hidden="1">
      <c r="A85" s="4">
        <v>6</v>
      </c>
      <c r="B85" s="5" t="s">
        <v>19</v>
      </c>
      <c r="C85" s="6">
        <v>44486</v>
      </c>
      <c r="D85" s="5" t="s">
        <v>20</v>
      </c>
      <c r="E85" s="5" t="s">
        <v>17</v>
      </c>
      <c r="F85" t="s">
        <v>45</v>
      </c>
      <c r="G85" s="9" t="s">
        <v>15</v>
      </c>
      <c r="H85" t="s">
        <v>49</v>
      </c>
      <c r="I85" s="7">
        <v>24</v>
      </c>
      <c r="J85" s="5">
        <v>14</v>
      </c>
      <c r="K85" s="5">
        <v>323</v>
      </c>
      <c r="L85" s="5">
        <v>0</v>
      </c>
      <c r="M85" s="5">
        <v>277</v>
      </c>
      <c r="N85" s="8">
        <v>1</v>
      </c>
      <c r="O85">
        <f t="shared" si="1"/>
        <v>10</v>
      </c>
    </row>
    <row r="86" spans="1:15" hidden="1">
      <c r="A86" s="4">
        <v>6</v>
      </c>
      <c r="B86" s="5" t="s">
        <v>19</v>
      </c>
      <c r="C86" s="6">
        <v>44486</v>
      </c>
      <c r="D86" s="5" t="s">
        <v>20</v>
      </c>
      <c r="E86" s="5" t="s">
        <v>17</v>
      </c>
      <c r="F86" t="s">
        <v>27</v>
      </c>
      <c r="G86" s="9" t="s">
        <v>15</v>
      </c>
      <c r="H86" t="s">
        <v>34</v>
      </c>
      <c r="I86" s="7">
        <v>34</v>
      </c>
      <c r="J86" s="5">
        <v>11</v>
      </c>
      <c r="K86" s="5">
        <v>398</v>
      </c>
      <c r="L86" s="5">
        <v>1</v>
      </c>
      <c r="M86" s="5">
        <v>228</v>
      </c>
      <c r="N86" s="8">
        <v>1</v>
      </c>
      <c r="O86">
        <f t="shared" si="1"/>
        <v>23</v>
      </c>
    </row>
    <row r="87" spans="1:15" hidden="1">
      <c r="A87" s="4">
        <v>6</v>
      </c>
      <c r="B87" s="5" t="s">
        <v>19</v>
      </c>
      <c r="C87" s="6">
        <v>44486</v>
      </c>
      <c r="D87" s="5" t="s">
        <v>20</v>
      </c>
      <c r="E87" s="5" t="s">
        <v>15</v>
      </c>
      <c r="F87" t="s">
        <v>30</v>
      </c>
      <c r="G87" s="5" t="s">
        <v>17</v>
      </c>
      <c r="H87" t="s">
        <v>35</v>
      </c>
      <c r="I87" s="7">
        <v>31</v>
      </c>
      <c r="J87" s="5">
        <v>3</v>
      </c>
      <c r="K87" s="5">
        <v>388</v>
      </c>
      <c r="L87" s="5">
        <v>0</v>
      </c>
      <c r="M87" s="5">
        <v>353</v>
      </c>
      <c r="N87" s="8">
        <v>3</v>
      </c>
      <c r="O87">
        <f t="shared" si="1"/>
        <v>28</v>
      </c>
    </row>
    <row r="88" spans="1:15" hidden="1">
      <c r="A88" s="4">
        <v>6</v>
      </c>
      <c r="B88" s="5" t="s">
        <v>19</v>
      </c>
      <c r="C88" s="6">
        <v>44486</v>
      </c>
      <c r="D88" s="5" t="s">
        <v>20</v>
      </c>
      <c r="E88" s="5" t="s">
        <v>17</v>
      </c>
      <c r="F88" t="s">
        <v>40</v>
      </c>
      <c r="G88" s="9" t="s">
        <v>15</v>
      </c>
      <c r="H88" t="s">
        <v>38</v>
      </c>
      <c r="I88" s="7">
        <v>31</v>
      </c>
      <c r="J88" s="5">
        <v>13</v>
      </c>
      <c r="K88" s="5">
        <v>499</v>
      </c>
      <c r="L88" s="5">
        <v>3</v>
      </c>
      <c r="M88" s="5">
        <v>276</v>
      </c>
      <c r="N88" s="8">
        <v>2</v>
      </c>
      <c r="O88">
        <f t="shared" si="1"/>
        <v>18</v>
      </c>
    </row>
    <row r="89" spans="1:15">
      <c r="A89" s="4">
        <v>6</v>
      </c>
      <c r="B89" s="5" t="s">
        <v>19</v>
      </c>
      <c r="C89" s="6">
        <v>44486</v>
      </c>
      <c r="D89" s="5" t="s">
        <v>20</v>
      </c>
      <c r="E89" s="5" t="s">
        <v>17</v>
      </c>
      <c r="F89" t="s">
        <v>48</v>
      </c>
      <c r="G89" s="9" t="s">
        <v>15</v>
      </c>
      <c r="H89" t="s">
        <v>43</v>
      </c>
      <c r="I89" s="7">
        <v>38</v>
      </c>
      <c r="J89" s="5">
        <v>11</v>
      </c>
      <c r="K89" s="5">
        <v>365</v>
      </c>
      <c r="L89" s="5">
        <v>2</v>
      </c>
      <c r="M89" s="5">
        <v>261</v>
      </c>
      <c r="N89" s="8">
        <v>4</v>
      </c>
      <c r="O89">
        <f t="shared" si="1"/>
        <v>27</v>
      </c>
    </row>
    <row r="90" spans="1:15" hidden="1">
      <c r="A90" s="4">
        <v>6</v>
      </c>
      <c r="B90" s="5" t="s">
        <v>19</v>
      </c>
      <c r="C90" s="6">
        <v>44486</v>
      </c>
      <c r="D90" s="5" t="s">
        <v>20</v>
      </c>
      <c r="E90" s="5" t="s">
        <v>15</v>
      </c>
      <c r="F90" t="s">
        <v>53</v>
      </c>
      <c r="G90" s="5" t="s">
        <v>17</v>
      </c>
      <c r="H90" t="s">
        <v>37</v>
      </c>
      <c r="I90" s="7">
        <v>34</v>
      </c>
      <c r="J90" s="5">
        <v>6</v>
      </c>
      <c r="K90" s="5">
        <v>327</v>
      </c>
      <c r="L90" s="5">
        <v>2</v>
      </c>
      <c r="M90" s="5">
        <v>208</v>
      </c>
      <c r="N90" s="8">
        <v>1</v>
      </c>
      <c r="O90">
        <f t="shared" si="1"/>
        <v>28</v>
      </c>
    </row>
    <row r="91" spans="1:15" hidden="1">
      <c r="A91" s="4">
        <v>6</v>
      </c>
      <c r="B91" s="5" t="s">
        <v>19</v>
      </c>
      <c r="C91" s="6">
        <v>44486</v>
      </c>
      <c r="D91" s="5" t="s">
        <v>54</v>
      </c>
      <c r="E91" s="5" t="s">
        <v>17</v>
      </c>
      <c r="F91" t="s">
        <v>31</v>
      </c>
      <c r="G91" s="9" t="s">
        <v>15</v>
      </c>
      <c r="H91" t="s">
        <v>41</v>
      </c>
      <c r="I91" s="7">
        <v>37</v>
      </c>
      <c r="J91" s="5">
        <v>14</v>
      </c>
      <c r="K91" s="5">
        <v>352</v>
      </c>
      <c r="L91" s="5">
        <v>0</v>
      </c>
      <c r="M91" s="5">
        <v>290</v>
      </c>
      <c r="N91" s="8">
        <v>3</v>
      </c>
      <c r="O91">
        <f t="shared" si="1"/>
        <v>23</v>
      </c>
    </row>
    <row r="92" spans="1:15" hidden="1">
      <c r="A92" s="4">
        <v>6</v>
      </c>
      <c r="B92" s="5" t="s">
        <v>19</v>
      </c>
      <c r="C92" s="6">
        <v>44486</v>
      </c>
      <c r="D92" s="5" t="s">
        <v>39</v>
      </c>
      <c r="E92" s="5" t="s">
        <v>17</v>
      </c>
      <c r="F92" t="s">
        <v>18</v>
      </c>
      <c r="G92" s="9" t="s">
        <v>15</v>
      </c>
      <c r="H92" t="s">
        <v>47</v>
      </c>
      <c r="I92" s="7">
        <v>35</v>
      </c>
      <c r="J92" s="5">
        <v>29</v>
      </c>
      <c r="K92" s="5">
        <v>567</v>
      </c>
      <c r="L92" s="5">
        <v>2</v>
      </c>
      <c r="M92" s="5">
        <v>335</v>
      </c>
      <c r="N92" s="8">
        <v>2</v>
      </c>
      <c r="O92">
        <f t="shared" si="1"/>
        <v>6</v>
      </c>
    </row>
    <row r="93" spans="1:15">
      <c r="A93" s="4">
        <v>6</v>
      </c>
      <c r="B93" s="5" t="s">
        <v>19</v>
      </c>
      <c r="C93" s="6">
        <v>44486</v>
      </c>
      <c r="D93" s="5" t="s">
        <v>39</v>
      </c>
      <c r="E93" s="5" t="s">
        <v>17</v>
      </c>
      <c r="F93" t="s">
        <v>52</v>
      </c>
      <c r="G93" s="9" t="s">
        <v>15</v>
      </c>
      <c r="H93" t="s">
        <v>42</v>
      </c>
      <c r="I93" s="7">
        <v>34</v>
      </c>
      <c r="J93" s="5">
        <v>24</v>
      </c>
      <c r="K93" s="5">
        <v>426</v>
      </c>
      <c r="L93" s="5">
        <v>0</v>
      </c>
      <c r="M93" s="5">
        <v>421</v>
      </c>
      <c r="N93" s="8">
        <v>4</v>
      </c>
      <c r="O93">
        <f t="shared" si="1"/>
        <v>10</v>
      </c>
    </row>
    <row r="94" spans="1:15" hidden="1">
      <c r="A94" s="4">
        <v>6</v>
      </c>
      <c r="B94" s="5" t="s">
        <v>19</v>
      </c>
      <c r="C94" s="6">
        <v>44486</v>
      </c>
      <c r="D94" s="5" t="s">
        <v>14</v>
      </c>
      <c r="E94" s="5" t="s">
        <v>15</v>
      </c>
      <c r="F94" t="s">
        <v>23</v>
      </c>
      <c r="G94" s="5" t="s">
        <v>17</v>
      </c>
      <c r="H94" t="s">
        <v>29</v>
      </c>
      <c r="I94" s="7">
        <v>23</v>
      </c>
      <c r="J94" s="5">
        <v>20</v>
      </c>
      <c r="K94" s="5">
        <v>345</v>
      </c>
      <c r="L94" s="5">
        <v>1</v>
      </c>
      <c r="M94" s="5">
        <v>309</v>
      </c>
      <c r="N94" s="8">
        <v>1</v>
      </c>
      <c r="O94">
        <f t="shared" si="1"/>
        <v>3</v>
      </c>
    </row>
    <row r="95" spans="1:15" hidden="1">
      <c r="A95" s="4">
        <v>6</v>
      </c>
      <c r="B95" s="5" t="s">
        <v>50</v>
      </c>
      <c r="C95" s="6">
        <v>44487</v>
      </c>
      <c r="D95" s="5" t="s">
        <v>51</v>
      </c>
      <c r="E95" s="5" t="s">
        <v>15</v>
      </c>
      <c r="F95" t="s">
        <v>32</v>
      </c>
      <c r="G95" s="5" t="s">
        <v>17</v>
      </c>
      <c r="H95" t="s">
        <v>24</v>
      </c>
      <c r="I95" s="7">
        <v>34</v>
      </c>
      <c r="J95" s="5">
        <v>31</v>
      </c>
      <c r="K95" s="5">
        <v>362</v>
      </c>
      <c r="L95" s="5">
        <v>1</v>
      </c>
      <c r="M95" s="5">
        <v>417</v>
      </c>
      <c r="N95" s="8">
        <v>1</v>
      </c>
      <c r="O95">
        <f t="shared" si="1"/>
        <v>3</v>
      </c>
    </row>
    <row r="96" spans="1:15" hidden="1">
      <c r="A96" s="4">
        <v>7</v>
      </c>
      <c r="B96" s="5" t="s">
        <v>13</v>
      </c>
      <c r="C96" s="6">
        <v>44490</v>
      </c>
      <c r="D96" s="5" t="s">
        <v>14</v>
      </c>
      <c r="E96" s="5" t="s">
        <v>15</v>
      </c>
      <c r="F96" t="s">
        <v>41</v>
      </c>
      <c r="G96" s="5" t="s">
        <v>17</v>
      </c>
      <c r="H96" t="s">
        <v>42</v>
      </c>
      <c r="I96" s="7">
        <v>17</v>
      </c>
      <c r="J96" s="5">
        <v>14</v>
      </c>
      <c r="K96" s="5">
        <v>376</v>
      </c>
      <c r="L96" s="5">
        <v>0</v>
      </c>
      <c r="M96" s="5">
        <v>223</v>
      </c>
      <c r="N96" s="8">
        <v>1</v>
      </c>
      <c r="O96">
        <f t="shared" si="1"/>
        <v>3</v>
      </c>
    </row>
    <row r="97" spans="1:15" hidden="1">
      <c r="A97" s="4">
        <v>7</v>
      </c>
      <c r="B97" s="5" t="s">
        <v>19</v>
      </c>
      <c r="C97" s="6">
        <v>44493</v>
      </c>
      <c r="D97" s="5" t="s">
        <v>20</v>
      </c>
      <c r="E97" s="5" t="s">
        <v>17</v>
      </c>
      <c r="F97" t="s">
        <v>22</v>
      </c>
      <c r="G97" s="9" t="s">
        <v>15</v>
      </c>
      <c r="H97" t="s">
        <v>46</v>
      </c>
      <c r="I97" s="7">
        <v>30</v>
      </c>
      <c r="J97" s="5">
        <v>28</v>
      </c>
      <c r="K97" s="5">
        <v>397</v>
      </c>
      <c r="L97" s="5">
        <v>2</v>
      </c>
      <c r="M97" s="5">
        <v>413</v>
      </c>
      <c r="N97" s="8">
        <v>2</v>
      </c>
      <c r="O97">
        <f t="shared" si="1"/>
        <v>2</v>
      </c>
    </row>
    <row r="98" spans="1:15" hidden="1">
      <c r="A98" s="4">
        <v>7</v>
      </c>
      <c r="B98" s="5" t="s">
        <v>19</v>
      </c>
      <c r="C98" s="6">
        <v>44493</v>
      </c>
      <c r="D98" s="5" t="s">
        <v>20</v>
      </c>
      <c r="E98" s="5" t="s">
        <v>15</v>
      </c>
      <c r="F98" t="s">
        <v>43</v>
      </c>
      <c r="G98" s="5" t="s">
        <v>17</v>
      </c>
      <c r="H98" t="s">
        <v>25</v>
      </c>
      <c r="I98" s="7">
        <v>25</v>
      </c>
      <c r="J98" s="5">
        <v>3</v>
      </c>
      <c r="K98" s="5">
        <v>302</v>
      </c>
      <c r="L98" s="5">
        <v>0</v>
      </c>
      <c r="M98" s="5">
        <v>173</v>
      </c>
      <c r="N98" s="8">
        <v>1</v>
      </c>
      <c r="O98">
        <f t="shared" si="1"/>
        <v>22</v>
      </c>
    </row>
    <row r="99" spans="1:15">
      <c r="A99" s="4">
        <v>7</v>
      </c>
      <c r="B99" s="5" t="s">
        <v>19</v>
      </c>
      <c r="C99" s="6">
        <v>44493</v>
      </c>
      <c r="D99" s="5" t="s">
        <v>20</v>
      </c>
      <c r="E99" s="5" t="s">
        <v>17</v>
      </c>
      <c r="F99" t="s">
        <v>27</v>
      </c>
      <c r="G99" s="9" t="s">
        <v>15</v>
      </c>
      <c r="H99" t="s">
        <v>53</v>
      </c>
      <c r="I99" s="7">
        <v>41</v>
      </c>
      <c r="J99" s="5">
        <v>17</v>
      </c>
      <c r="K99" s="5">
        <v>520</v>
      </c>
      <c r="L99" s="5">
        <v>1</v>
      </c>
      <c r="M99" s="5">
        <v>393</v>
      </c>
      <c r="N99" s="8">
        <v>0</v>
      </c>
      <c r="O99">
        <f t="shared" si="1"/>
        <v>24</v>
      </c>
    </row>
    <row r="100" spans="1:15" hidden="1">
      <c r="A100" s="4">
        <v>7</v>
      </c>
      <c r="B100" s="5" t="s">
        <v>19</v>
      </c>
      <c r="C100" s="6">
        <v>44493</v>
      </c>
      <c r="D100" s="5" t="s">
        <v>20</v>
      </c>
      <c r="E100" s="5" t="s">
        <v>15</v>
      </c>
      <c r="F100" t="s">
        <v>45</v>
      </c>
      <c r="G100" s="5" t="s">
        <v>17</v>
      </c>
      <c r="H100" t="s">
        <v>38</v>
      </c>
      <c r="I100" s="7">
        <v>24</v>
      </c>
      <c r="J100" s="5">
        <v>10</v>
      </c>
      <c r="K100" s="5">
        <v>304</v>
      </c>
      <c r="L100" s="5">
        <v>1</v>
      </c>
      <c r="M100" s="5">
        <v>430</v>
      </c>
      <c r="N100" s="8">
        <v>2</v>
      </c>
      <c r="O100">
        <f t="shared" si="1"/>
        <v>14</v>
      </c>
    </row>
    <row r="101" spans="1:15" hidden="1">
      <c r="A101" s="4">
        <v>7</v>
      </c>
      <c r="B101" s="5" t="s">
        <v>19</v>
      </c>
      <c r="C101" s="6">
        <v>44493</v>
      </c>
      <c r="D101" s="5" t="s">
        <v>20</v>
      </c>
      <c r="E101" s="5" t="s">
        <v>15</v>
      </c>
      <c r="F101" t="s">
        <v>32</v>
      </c>
      <c r="G101" s="5" t="s">
        <v>17</v>
      </c>
      <c r="H101" t="s">
        <v>40</v>
      </c>
      <c r="I101" s="7">
        <v>27</v>
      </c>
      <c r="J101" s="5">
        <v>3</v>
      </c>
      <c r="K101" s="5">
        <v>369</v>
      </c>
      <c r="L101" s="5">
        <v>1</v>
      </c>
      <c r="M101" s="5">
        <v>334</v>
      </c>
      <c r="N101" s="8">
        <v>3</v>
      </c>
      <c r="O101">
        <f t="shared" si="1"/>
        <v>24</v>
      </c>
    </row>
    <row r="102" spans="1:15" hidden="1">
      <c r="A102" s="4">
        <v>7</v>
      </c>
      <c r="B102" s="5" t="s">
        <v>19</v>
      </c>
      <c r="C102" s="6">
        <v>44493</v>
      </c>
      <c r="D102" s="5" t="s">
        <v>20</v>
      </c>
      <c r="E102" s="5" t="s">
        <v>15</v>
      </c>
      <c r="F102" t="s">
        <v>47</v>
      </c>
      <c r="G102" s="5" t="s">
        <v>17</v>
      </c>
      <c r="H102" t="s">
        <v>26</v>
      </c>
      <c r="I102" s="7">
        <v>54</v>
      </c>
      <c r="J102" s="5">
        <v>13</v>
      </c>
      <c r="K102" s="5">
        <v>551</v>
      </c>
      <c r="L102" s="5">
        <v>0</v>
      </c>
      <c r="M102" s="5">
        <v>299</v>
      </c>
      <c r="N102" s="8">
        <v>3</v>
      </c>
      <c r="O102">
        <f t="shared" si="1"/>
        <v>41</v>
      </c>
    </row>
    <row r="103" spans="1:15" hidden="1">
      <c r="A103" s="4">
        <v>7</v>
      </c>
      <c r="B103" s="5" t="s">
        <v>19</v>
      </c>
      <c r="C103" s="6">
        <v>44493</v>
      </c>
      <c r="D103" s="5" t="s">
        <v>54</v>
      </c>
      <c r="E103" s="5" t="s">
        <v>15</v>
      </c>
      <c r="F103" t="s">
        <v>48</v>
      </c>
      <c r="G103" s="5" t="s">
        <v>17</v>
      </c>
      <c r="H103" t="s">
        <v>34</v>
      </c>
      <c r="I103" s="7">
        <v>28</v>
      </c>
      <c r="J103" s="5">
        <v>19</v>
      </c>
      <c r="K103" s="5">
        <v>374</v>
      </c>
      <c r="L103" s="5">
        <v>0</v>
      </c>
      <c r="M103" s="5">
        <v>415</v>
      </c>
      <c r="N103" s="8">
        <v>2</v>
      </c>
      <c r="O103">
        <f t="shared" si="1"/>
        <v>9</v>
      </c>
    </row>
    <row r="104" spans="1:15" hidden="1">
      <c r="A104" s="4">
        <v>7</v>
      </c>
      <c r="B104" s="5" t="s">
        <v>19</v>
      </c>
      <c r="C104" s="6">
        <v>44493</v>
      </c>
      <c r="D104" s="5" t="s">
        <v>54</v>
      </c>
      <c r="E104" s="5" t="s">
        <v>15</v>
      </c>
      <c r="F104" t="s">
        <v>52</v>
      </c>
      <c r="G104" s="5" t="s">
        <v>17</v>
      </c>
      <c r="H104" t="s">
        <v>21</v>
      </c>
      <c r="I104" s="7">
        <v>33</v>
      </c>
      <c r="J104" s="5">
        <v>22</v>
      </c>
      <c r="K104" s="5">
        <v>442</v>
      </c>
      <c r="L104" s="5">
        <v>1</v>
      </c>
      <c r="M104" s="5">
        <v>358</v>
      </c>
      <c r="N104" s="8">
        <v>2</v>
      </c>
      <c r="O104">
        <f t="shared" si="1"/>
        <v>11</v>
      </c>
    </row>
    <row r="105" spans="1:15">
      <c r="A105" s="4">
        <v>7</v>
      </c>
      <c r="B105" s="5" t="s">
        <v>19</v>
      </c>
      <c r="C105" s="6">
        <v>44493</v>
      </c>
      <c r="D105" s="5" t="s">
        <v>39</v>
      </c>
      <c r="E105" s="5" t="s">
        <v>15</v>
      </c>
      <c r="F105" t="s">
        <v>16</v>
      </c>
      <c r="G105" s="5" t="s">
        <v>17</v>
      </c>
      <c r="H105" t="s">
        <v>49</v>
      </c>
      <c r="I105" s="7">
        <v>38</v>
      </c>
      <c r="J105" s="5">
        <v>3</v>
      </c>
      <c r="K105" s="5">
        <v>408</v>
      </c>
      <c r="L105" s="5">
        <v>1</v>
      </c>
      <c r="M105" s="5">
        <v>311</v>
      </c>
      <c r="N105" s="8">
        <v>5</v>
      </c>
      <c r="O105">
        <f t="shared" si="1"/>
        <v>35</v>
      </c>
    </row>
    <row r="106" spans="1:15" hidden="1">
      <c r="A106" s="4">
        <v>7</v>
      </c>
      <c r="B106" s="5" t="s">
        <v>19</v>
      </c>
      <c r="C106" s="6">
        <v>44493</v>
      </c>
      <c r="D106" s="5" t="s">
        <v>39</v>
      </c>
      <c r="E106" s="5" t="s">
        <v>15</v>
      </c>
      <c r="F106" t="s">
        <v>31</v>
      </c>
      <c r="G106" s="5" t="s">
        <v>17</v>
      </c>
      <c r="H106" t="s">
        <v>35</v>
      </c>
      <c r="I106" s="7">
        <v>31</v>
      </c>
      <c r="J106" s="5">
        <v>5</v>
      </c>
      <c r="K106" s="5">
        <v>397</v>
      </c>
      <c r="L106" s="5">
        <v>1</v>
      </c>
      <c r="M106" s="5">
        <v>160</v>
      </c>
      <c r="N106" s="8">
        <v>1</v>
      </c>
      <c r="O106">
        <f t="shared" si="1"/>
        <v>26</v>
      </c>
    </row>
    <row r="107" spans="1:15">
      <c r="A107" s="4">
        <v>7</v>
      </c>
      <c r="B107" s="5" t="s">
        <v>19</v>
      </c>
      <c r="C107" s="6">
        <v>44493</v>
      </c>
      <c r="D107" s="5" t="s">
        <v>14</v>
      </c>
      <c r="E107" s="5" t="s">
        <v>17</v>
      </c>
      <c r="F107" t="s">
        <v>30</v>
      </c>
      <c r="G107" s="9" t="s">
        <v>15</v>
      </c>
      <c r="H107" t="s">
        <v>33</v>
      </c>
      <c r="I107" s="7">
        <v>30</v>
      </c>
      <c r="J107" s="5">
        <v>18</v>
      </c>
      <c r="K107" s="5">
        <v>295</v>
      </c>
      <c r="L107" s="5">
        <v>2</v>
      </c>
      <c r="M107" s="5">
        <v>280</v>
      </c>
      <c r="N107" s="8">
        <v>4</v>
      </c>
      <c r="O107">
        <f t="shared" si="1"/>
        <v>12</v>
      </c>
    </row>
    <row r="108" spans="1:15">
      <c r="A108" s="4">
        <v>7</v>
      </c>
      <c r="B108" s="5" t="s">
        <v>50</v>
      </c>
      <c r="C108" s="6">
        <v>44494</v>
      </c>
      <c r="D108" s="5" t="s">
        <v>51</v>
      </c>
      <c r="E108" s="5" t="s">
        <v>17</v>
      </c>
      <c r="F108" t="s">
        <v>44</v>
      </c>
      <c r="G108" s="9" t="s">
        <v>15</v>
      </c>
      <c r="H108" t="s">
        <v>29</v>
      </c>
      <c r="I108" s="7">
        <v>13</v>
      </c>
      <c r="J108" s="5">
        <v>10</v>
      </c>
      <c r="K108" s="5">
        <v>304</v>
      </c>
      <c r="L108" s="5">
        <v>1</v>
      </c>
      <c r="M108" s="5">
        <v>219</v>
      </c>
      <c r="N108" s="8">
        <v>0</v>
      </c>
      <c r="O108">
        <f t="shared" si="1"/>
        <v>3</v>
      </c>
    </row>
    <row r="109" spans="1:15" hidden="1">
      <c r="A109" s="4">
        <v>8</v>
      </c>
      <c r="B109" s="5" t="s">
        <v>13</v>
      </c>
      <c r="C109" s="6">
        <v>44497</v>
      </c>
      <c r="D109" s="5" t="s">
        <v>14</v>
      </c>
      <c r="E109" s="5" t="s">
        <v>17</v>
      </c>
      <c r="F109" t="s">
        <v>45</v>
      </c>
      <c r="G109" s="9" t="s">
        <v>15</v>
      </c>
      <c r="H109" t="s">
        <v>31</v>
      </c>
      <c r="I109" s="7">
        <v>24</v>
      </c>
      <c r="J109" s="5">
        <v>21</v>
      </c>
      <c r="K109" s="5">
        <v>335</v>
      </c>
      <c r="L109" s="5">
        <v>0</v>
      </c>
      <c r="M109" s="5">
        <v>334</v>
      </c>
      <c r="N109" s="8">
        <v>3</v>
      </c>
      <c r="O109">
        <f t="shared" si="1"/>
        <v>3</v>
      </c>
    </row>
    <row r="110" spans="1:15" hidden="1">
      <c r="A110" s="4">
        <v>8</v>
      </c>
      <c r="B110" s="5" t="s">
        <v>19</v>
      </c>
      <c r="C110" s="6">
        <v>44500</v>
      </c>
      <c r="D110" s="5" t="s">
        <v>20</v>
      </c>
      <c r="E110" s="5" t="s">
        <v>17</v>
      </c>
      <c r="F110" t="s">
        <v>25</v>
      </c>
      <c r="G110" s="9" t="s">
        <v>15</v>
      </c>
      <c r="H110" t="s">
        <v>22</v>
      </c>
      <c r="I110" s="7">
        <v>19</v>
      </c>
      <c r="J110" s="5">
        <v>13</v>
      </c>
      <c r="K110" s="5">
        <v>332</v>
      </c>
      <c r="L110" s="5">
        <v>1</v>
      </c>
      <c r="M110" s="5">
        <v>213</v>
      </c>
      <c r="N110" s="8">
        <v>2</v>
      </c>
      <c r="O110">
        <f t="shared" si="1"/>
        <v>6</v>
      </c>
    </row>
    <row r="111" spans="1:15" hidden="1">
      <c r="A111" s="4">
        <v>8</v>
      </c>
      <c r="B111" s="5" t="s">
        <v>19</v>
      </c>
      <c r="C111" s="6">
        <v>44500</v>
      </c>
      <c r="D111" s="5" t="s">
        <v>20</v>
      </c>
      <c r="E111" s="5" t="s">
        <v>15</v>
      </c>
      <c r="F111" t="s">
        <v>24</v>
      </c>
      <c r="G111" s="5" t="s">
        <v>17</v>
      </c>
      <c r="H111" t="s">
        <v>46</v>
      </c>
      <c r="I111" s="7">
        <v>26</v>
      </c>
      <c r="J111" s="5">
        <v>11</v>
      </c>
      <c r="K111" s="5">
        <v>351</v>
      </c>
      <c r="L111" s="5">
        <v>0</v>
      </c>
      <c r="M111" s="5">
        <v>262</v>
      </c>
      <c r="N111" s="8">
        <v>2</v>
      </c>
      <c r="O111">
        <f t="shared" si="1"/>
        <v>15</v>
      </c>
    </row>
    <row r="112" spans="1:15" hidden="1">
      <c r="A112" s="4">
        <v>8</v>
      </c>
      <c r="B112" s="5" t="s">
        <v>19</v>
      </c>
      <c r="C112" s="6">
        <v>44500</v>
      </c>
      <c r="D112" s="5" t="s">
        <v>20</v>
      </c>
      <c r="E112" s="5" t="s">
        <v>17</v>
      </c>
      <c r="F112" t="s">
        <v>33</v>
      </c>
      <c r="G112" s="9" t="s">
        <v>15</v>
      </c>
      <c r="H112" t="s">
        <v>49</v>
      </c>
      <c r="I112" s="7">
        <v>33</v>
      </c>
      <c r="J112" s="5">
        <v>22</v>
      </c>
      <c r="K112" s="5">
        <v>467</v>
      </c>
      <c r="L112" s="5">
        <v>0</v>
      </c>
      <c r="M112" s="5">
        <v>324</v>
      </c>
      <c r="N112" s="8">
        <v>1</v>
      </c>
      <c r="O112">
        <f t="shared" si="1"/>
        <v>11</v>
      </c>
    </row>
    <row r="113" spans="1:15" hidden="1">
      <c r="A113" s="4">
        <v>8</v>
      </c>
      <c r="B113" s="5" t="s">
        <v>19</v>
      </c>
      <c r="C113" s="6">
        <v>44500</v>
      </c>
      <c r="D113" s="5" t="s">
        <v>20</v>
      </c>
      <c r="E113" s="5" t="s">
        <v>15</v>
      </c>
      <c r="F113" t="s">
        <v>26</v>
      </c>
      <c r="G113" s="5" t="s">
        <v>17</v>
      </c>
      <c r="H113" t="s">
        <v>27</v>
      </c>
      <c r="I113" s="7">
        <v>34</v>
      </c>
      <c r="J113" s="5">
        <v>31</v>
      </c>
      <c r="K113" s="5">
        <v>511</v>
      </c>
      <c r="L113" s="5">
        <v>3</v>
      </c>
      <c r="M113" s="5">
        <v>318</v>
      </c>
      <c r="N113" s="8">
        <v>1</v>
      </c>
      <c r="O113">
        <f t="shared" si="1"/>
        <v>3</v>
      </c>
    </row>
    <row r="114" spans="1:15" hidden="1">
      <c r="A114" s="4">
        <v>8</v>
      </c>
      <c r="B114" s="5" t="s">
        <v>19</v>
      </c>
      <c r="C114" s="6">
        <v>44500</v>
      </c>
      <c r="D114" s="5" t="s">
        <v>20</v>
      </c>
      <c r="E114" s="5" t="s">
        <v>17</v>
      </c>
      <c r="F114" t="s">
        <v>23</v>
      </c>
      <c r="G114" s="9" t="s">
        <v>15</v>
      </c>
      <c r="H114" t="s">
        <v>41</v>
      </c>
      <c r="I114" s="7">
        <v>15</v>
      </c>
      <c r="J114" s="5">
        <v>10</v>
      </c>
      <c r="K114" s="5">
        <v>370</v>
      </c>
      <c r="L114" s="5">
        <v>0</v>
      </c>
      <c r="M114" s="5">
        <v>306</v>
      </c>
      <c r="N114" s="8">
        <v>1</v>
      </c>
      <c r="O114">
        <f t="shared" si="1"/>
        <v>5</v>
      </c>
    </row>
    <row r="115" spans="1:15" hidden="1">
      <c r="A115" s="4">
        <v>8</v>
      </c>
      <c r="B115" s="5" t="s">
        <v>19</v>
      </c>
      <c r="C115" s="6">
        <v>44500</v>
      </c>
      <c r="D115" s="5" t="s">
        <v>20</v>
      </c>
      <c r="E115" s="5" t="s">
        <v>17</v>
      </c>
      <c r="F115" t="s">
        <v>32</v>
      </c>
      <c r="G115" s="9" t="s">
        <v>15</v>
      </c>
      <c r="H115" t="s">
        <v>30</v>
      </c>
      <c r="I115" s="7">
        <v>34</v>
      </c>
      <c r="J115" s="5">
        <v>31</v>
      </c>
      <c r="K115" s="5">
        <v>340</v>
      </c>
      <c r="L115" s="5">
        <v>2</v>
      </c>
      <c r="M115" s="5">
        <v>307</v>
      </c>
      <c r="N115" s="8">
        <v>3</v>
      </c>
      <c r="O115">
        <f t="shared" si="1"/>
        <v>3</v>
      </c>
    </row>
    <row r="116" spans="1:15" hidden="1">
      <c r="A116" s="4">
        <v>8</v>
      </c>
      <c r="B116" s="5" t="s">
        <v>19</v>
      </c>
      <c r="C116" s="6">
        <v>44500</v>
      </c>
      <c r="D116" s="5" t="s">
        <v>20</v>
      </c>
      <c r="E116" s="5" t="s">
        <v>17</v>
      </c>
      <c r="F116" t="s">
        <v>21</v>
      </c>
      <c r="G116" s="9" t="s">
        <v>15</v>
      </c>
      <c r="H116" t="s">
        <v>34</v>
      </c>
      <c r="I116" s="7">
        <v>44</v>
      </c>
      <c r="J116" s="5">
        <v>6</v>
      </c>
      <c r="K116" s="5">
        <v>350</v>
      </c>
      <c r="L116" s="5">
        <v>0</v>
      </c>
      <c r="M116" s="5">
        <v>228</v>
      </c>
      <c r="N116" s="8">
        <v>1</v>
      </c>
      <c r="O116">
        <f t="shared" si="1"/>
        <v>38</v>
      </c>
    </row>
    <row r="117" spans="1:15" hidden="1">
      <c r="A117" s="4">
        <v>8</v>
      </c>
      <c r="B117" s="5" t="s">
        <v>19</v>
      </c>
      <c r="C117" s="6">
        <v>44500</v>
      </c>
      <c r="D117" s="5" t="s">
        <v>20</v>
      </c>
      <c r="E117" s="5" t="s">
        <v>17</v>
      </c>
      <c r="F117" t="s">
        <v>48</v>
      </c>
      <c r="G117" s="9" t="s">
        <v>15</v>
      </c>
      <c r="H117" t="s">
        <v>35</v>
      </c>
      <c r="I117" s="7">
        <v>38</v>
      </c>
      <c r="J117" s="5">
        <v>22</v>
      </c>
      <c r="K117" s="5">
        <v>467</v>
      </c>
      <c r="L117" s="5">
        <v>0</v>
      </c>
      <c r="M117" s="5">
        <v>323</v>
      </c>
      <c r="N117" s="8">
        <v>1</v>
      </c>
      <c r="O117">
        <f t="shared" si="1"/>
        <v>16</v>
      </c>
    </row>
    <row r="118" spans="1:15" hidden="1">
      <c r="A118" s="4">
        <v>8</v>
      </c>
      <c r="B118" s="5" t="s">
        <v>19</v>
      </c>
      <c r="C118" s="6">
        <v>44500</v>
      </c>
      <c r="D118" s="5" t="s">
        <v>54</v>
      </c>
      <c r="E118" s="5" t="s">
        <v>15</v>
      </c>
      <c r="F118" t="s">
        <v>29</v>
      </c>
      <c r="G118" s="5" t="s">
        <v>17</v>
      </c>
      <c r="H118" t="s">
        <v>36</v>
      </c>
      <c r="I118" s="7">
        <v>31</v>
      </c>
      <c r="J118" s="5">
        <v>7</v>
      </c>
      <c r="K118" s="5">
        <v>229</v>
      </c>
      <c r="L118" s="5">
        <v>0</v>
      </c>
      <c r="M118" s="5">
        <v>309</v>
      </c>
      <c r="N118" s="8">
        <v>1</v>
      </c>
      <c r="O118">
        <f t="shared" si="1"/>
        <v>24</v>
      </c>
    </row>
    <row r="119" spans="1:15" hidden="1">
      <c r="A119" s="4">
        <v>8</v>
      </c>
      <c r="B119" s="5" t="s">
        <v>19</v>
      </c>
      <c r="C119" s="6">
        <v>44500</v>
      </c>
      <c r="D119" s="5" t="s">
        <v>54</v>
      </c>
      <c r="E119" s="5" t="s">
        <v>17</v>
      </c>
      <c r="F119" t="s">
        <v>47</v>
      </c>
      <c r="G119" s="9" t="s">
        <v>15</v>
      </c>
      <c r="H119" t="s">
        <v>37</v>
      </c>
      <c r="I119" s="7">
        <v>27</v>
      </c>
      <c r="J119" s="5">
        <v>24</v>
      </c>
      <c r="K119" s="5">
        <v>352</v>
      </c>
      <c r="L119" s="5">
        <v>1</v>
      </c>
      <c r="M119" s="5">
        <v>369</v>
      </c>
      <c r="N119" s="8">
        <v>2</v>
      </c>
      <c r="O119">
        <f t="shared" si="1"/>
        <v>3</v>
      </c>
    </row>
    <row r="120" spans="1:15" hidden="1">
      <c r="A120" s="4">
        <v>8</v>
      </c>
      <c r="B120" s="5" t="s">
        <v>19</v>
      </c>
      <c r="C120" s="6">
        <v>44500</v>
      </c>
      <c r="D120" s="5" t="s">
        <v>39</v>
      </c>
      <c r="E120" s="5" t="s">
        <v>15</v>
      </c>
      <c r="F120" t="s">
        <v>44</v>
      </c>
      <c r="G120" s="5" t="s">
        <v>17</v>
      </c>
      <c r="H120" t="s">
        <v>16</v>
      </c>
      <c r="I120" s="7">
        <v>36</v>
      </c>
      <c r="J120" s="5">
        <v>27</v>
      </c>
      <c r="K120" s="5">
        <v>361</v>
      </c>
      <c r="L120" s="5">
        <v>0</v>
      </c>
      <c r="M120" s="5">
        <v>421</v>
      </c>
      <c r="N120" s="8">
        <v>3</v>
      </c>
      <c r="O120">
        <f t="shared" si="1"/>
        <v>9</v>
      </c>
    </row>
    <row r="121" spans="1:15" hidden="1">
      <c r="A121" s="4">
        <v>8</v>
      </c>
      <c r="B121" s="5" t="s">
        <v>19</v>
      </c>
      <c r="C121" s="6">
        <v>44500</v>
      </c>
      <c r="D121" s="5" t="s">
        <v>39</v>
      </c>
      <c r="E121" s="5" t="s">
        <v>15</v>
      </c>
      <c r="F121" t="s">
        <v>42</v>
      </c>
      <c r="G121" s="5" t="s">
        <v>17</v>
      </c>
      <c r="H121" t="s">
        <v>38</v>
      </c>
      <c r="I121" s="7">
        <v>17</v>
      </c>
      <c r="J121" s="5">
        <v>10</v>
      </c>
      <c r="K121" s="5">
        <v>273</v>
      </c>
      <c r="L121" s="5">
        <v>1</v>
      </c>
      <c r="M121" s="5">
        <v>342</v>
      </c>
      <c r="N121" s="8">
        <v>2</v>
      </c>
      <c r="O121">
        <f t="shared" si="1"/>
        <v>7</v>
      </c>
    </row>
    <row r="122" spans="1:15">
      <c r="A122" s="4">
        <v>8</v>
      </c>
      <c r="B122" s="5" t="s">
        <v>19</v>
      </c>
      <c r="C122" s="6">
        <v>44500</v>
      </c>
      <c r="D122" s="5" t="s">
        <v>14</v>
      </c>
      <c r="E122" s="5" t="s">
        <v>17</v>
      </c>
      <c r="F122" t="s">
        <v>18</v>
      </c>
      <c r="G122" s="9" t="s">
        <v>15</v>
      </c>
      <c r="H122" t="s">
        <v>28</v>
      </c>
      <c r="I122" s="7">
        <v>20</v>
      </c>
      <c r="J122" s="5">
        <v>16</v>
      </c>
      <c r="K122" s="5">
        <v>419</v>
      </c>
      <c r="L122" s="5">
        <v>2</v>
      </c>
      <c r="M122" s="5">
        <v>278</v>
      </c>
      <c r="N122" s="8">
        <v>0</v>
      </c>
      <c r="O122">
        <f t="shared" si="1"/>
        <v>4</v>
      </c>
    </row>
    <row r="123" spans="1:15" hidden="1">
      <c r="A123" s="4">
        <v>8</v>
      </c>
      <c r="B123" s="5" t="s">
        <v>50</v>
      </c>
      <c r="C123" s="6">
        <v>44501</v>
      </c>
      <c r="D123" s="5" t="s">
        <v>51</v>
      </c>
      <c r="E123" s="5" t="s">
        <v>15</v>
      </c>
      <c r="F123" t="s">
        <v>40</v>
      </c>
      <c r="G123" s="5" t="s">
        <v>17</v>
      </c>
      <c r="H123" t="s">
        <v>43</v>
      </c>
      <c r="I123" s="7">
        <v>20</v>
      </c>
      <c r="J123" s="5">
        <v>17</v>
      </c>
      <c r="K123" s="5">
        <v>368</v>
      </c>
      <c r="L123" s="5">
        <v>2</v>
      </c>
      <c r="M123" s="5">
        <v>300</v>
      </c>
      <c r="N123" s="8">
        <v>1</v>
      </c>
      <c r="O123">
        <f t="shared" si="1"/>
        <v>3</v>
      </c>
    </row>
    <row r="124" spans="1:15" hidden="1">
      <c r="A124" s="4">
        <v>9</v>
      </c>
      <c r="B124" s="5" t="s">
        <v>13</v>
      </c>
      <c r="C124" s="6">
        <v>44504</v>
      </c>
      <c r="D124" s="5" t="s">
        <v>14</v>
      </c>
      <c r="E124" s="5" t="s">
        <v>15</v>
      </c>
      <c r="F124" t="s">
        <v>30</v>
      </c>
      <c r="G124" s="5" t="s">
        <v>17</v>
      </c>
      <c r="H124" t="s">
        <v>26</v>
      </c>
      <c r="I124" s="7">
        <v>45</v>
      </c>
      <c r="J124" s="5">
        <v>30</v>
      </c>
      <c r="K124" s="5">
        <v>532</v>
      </c>
      <c r="L124" s="5">
        <v>0</v>
      </c>
      <c r="M124" s="5">
        <v>486</v>
      </c>
      <c r="N124" s="8">
        <v>2</v>
      </c>
      <c r="O124">
        <f t="shared" si="1"/>
        <v>15</v>
      </c>
    </row>
    <row r="125" spans="1:15" hidden="1">
      <c r="A125" s="4">
        <v>9</v>
      </c>
      <c r="B125" s="5" t="s">
        <v>19</v>
      </c>
      <c r="C125" s="6">
        <v>44507</v>
      </c>
      <c r="D125" s="5" t="s">
        <v>20</v>
      </c>
      <c r="E125" s="5" t="s">
        <v>17</v>
      </c>
      <c r="F125" t="s">
        <v>22</v>
      </c>
      <c r="G125" s="9" t="s">
        <v>15</v>
      </c>
      <c r="H125" t="s">
        <v>44</v>
      </c>
      <c r="I125" s="7">
        <v>27</v>
      </c>
      <c r="J125" s="5">
        <v>25</v>
      </c>
      <c r="K125" s="5">
        <v>366</v>
      </c>
      <c r="L125" s="5">
        <v>0</v>
      </c>
      <c r="M125" s="5">
        <v>376</v>
      </c>
      <c r="N125" s="8">
        <v>1</v>
      </c>
      <c r="O125">
        <f t="shared" si="1"/>
        <v>2</v>
      </c>
    </row>
    <row r="126" spans="1:15" hidden="1">
      <c r="A126" s="4">
        <v>9</v>
      </c>
      <c r="B126" s="5" t="s">
        <v>19</v>
      </c>
      <c r="C126" s="6">
        <v>44507</v>
      </c>
      <c r="D126" s="5" t="s">
        <v>20</v>
      </c>
      <c r="E126" s="5" t="s">
        <v>15</v>
      </c>
      <c r="F126" t="s">
        <v>36</v>
      </c>
      <c r="G126" s="5" t="s">
        <v>17</v>
      </c>
      <c r="H126" t="s">
        <v>24</v>
      </c>
      <c r="I126" s="7">
        <v>9</v>
      </c>
      <c r="J126" s="5">
        <v>6</v>
      </c>
      <c r="K126" s="5">
        <v>218</v>
      </c>
      <c r="L126" s="5">
        <v>1</v>
      </c>
      <c r="M126" s="5">
        <v>301</v>
      </c>
      <c r="N126" s="8">
        <v>3</v>
      </c>
      <c r="O126">
        <f t="shared" si="1"/>
        <v>3</v>
      </c>
    </row>
    <row r="127" spans="1:15" hidden="1">
      <c r="A127" s="4">
        <v>9</v>
      </c>
      <c r="B127" s="5" t="s">
        <v>19</v>
      </c>
      <c r="C127" s="6">
        <v>44507</v>
      </c>
      <c r="D127" s="5" t="s">
        <v>20</v>
      </c>
      <c r="E127" s="5" t="s">
        <v>17</v>
      </c>
      <c r="F127" t="s">
        <v>42</v>
      </c>
      <c r="G127" s="9" t="s">
        <v>15</v>
      </c>
      <c r="H127" t="s">
        <v>18</v>
      </c>
      <c r="I127" s="7">
        <v>30</v>
      </c>
      <c r="J127" s="5">
        <v>16</v>
      </c>
      <c r="K127" s="5">
        <v>407</v>
      </c>
      <c r="L127" s="5">
        <v>0</v>
      </c>
      <c r="M127" s="5">
        <v>290</v>
      </c>
      <c r="N127" s="8">
        <v>2</v>
      </c>
      <c r="O127">
        <f t="shared" si="1"/>
        <v>14</v>
      </c>
    </row>
    <row r="128" spans="1:15">
      <c r="A128" s="4">
        <v>9</v>
      </c>
      <c r="B128" s="5" t="s">
        <v>19</v>
      </c>
      <c r="C128" s="6">
        <v>44507</v>
      </c>
      <c r="D128" s="5" t="s">
        <v>20</v>
      </c>
      <c r="E128" s="5" t="s">
        <v>15</v>
      </c>
      <c r="F128" t="s">
        <v>53</v>
      </c>
      <c r="G128" s="5" t="s">
        <v>17</v>
      </c>
      <c r="H128" t="s">
        <v>28</v>
      </c>
      <c r="I128" s="7">
        <v>34</v>
      </c>
      <c r="J128" s="5">
        <v>31</v>
      </c>
      <c r="K128" s="5">
        <v>500</v>
      </c>
      <c r="L128" s="5">
        <v>2</v>
      </c>
      <c r="M128" s="5">
        <v>318</v>
      </c>
      <c r="N128" s="8">
        <v>0</v>
      </c>
      <c r="O128">
        <f t="shared" si="1"/>
        <v>3</v>
      </c>
    </row>
    <row r="129" spans="1:15" hidden="1">
      <c r="A129" s="4">
        <v>9</v>
      </c>
      <c r="B129" s="5" t="s">
        <v>19</v>
      </c>
      <c r="C129" s="6">
        <v>44507</v>
      </c>
      <c r="D129" s="5" t="s">
        <v>20</v>
      </c>
      <c r="E129" s="5" t="s">
        <v>17</v>
      </c>
      <c r="F129" t="s">
        <v>47</v>
      </c>
      <c r="G129" s="9" t="s">
        <v>15</v>
      </c>
      <c r="H129" t="s">
        <v>25</v>
      </c>
      <c r="I129" s="7">
        <v>24</v>
      </c>
      <c r="J129" s="5">
        <v>6</v>
      </c>
      <c r="K129" s="5">
        <v>273</v>
      </c>
      <c r="L129" s="5">
        <v>2</v>
      </c>
      <c r="M129" s="5">
        <v>240</v>
      </c>
      <c r="N129" s="8">
        <v>3</v>
      </c>
      <c r="O129">
        <f t="shared" si="1"/>
        <v>18</v>
      </c>
    </row>
    <row r="130" spans="1:15" hidden="1">
      <c r="A130" s="4">
        <v>9</v>
      </c>
      <c r="B130" s="5" t="s">
        <v>19</v>
      </c>
      <c r="C130" s="6">
        <v>44507</v>
      </c>
      <c r="D130" s="5" t="s">
        <v>20</v>
      </c>
      <c r="E130" s="5" t="s">
        <v>17</v>
      </c>
      <c r="F130" t="s">
        <v>41</v>
      </c>
      <c r="G130" s="9" t="s">
        <v>15</v>
      </c>
      <c r="H130" t="s">
        <v>27</v>
      </c>
      <c r="I130" s="7">
        <v>41</v>
      </c>
      <c r="J130" s="5">
        <v>16</v>
      </c>
      <c r="K130" s="5">
        <v>361</v>
      </c>
      <c r="L130" s="5">
        <v>0</v>
      </c>
      <c r="M130" s="5">
        <v>348</v>
      </c>
      <c r="N130" s="8">
        <v>3</v>
      </c>
      <c r="O130">
        <f t="shared" si="1"/>
        <v>25</v>
      </c>
    </row>
    <row r="131" spans="1:15">
      <c r="A131" s="4">
        <v>9</v>
      </c>
      <c r="B131" s="5" t="s">
        <v>19</v>
      </c>
      <c r="C131" s="6">
        <v>44507</v>
      </c>
      <c r="D131" s="5" t="s">
        <v>20</v>
      </c>
      <c r="E131" s="5" t="s">
        <v>15</v>
      </c>
      <c r="F131" t="s">
        <v>46</v>
      </c>
      <c r="G131" s="5" t="s">
        <v>17</v>
      </c>
      <c r="H131" t="s">
        <v>35</v>
      </c>
      <c r="I131" s="7">
        <v>17</v>
      </c>
      <c r="J131" s="5">
        <v>9</v>
      </c>
      <c r="K131" s="5">
        <v>262</v>
      </c>
      <c r="L131" s="5">
        <v>5</v>
      </c>
      <c r="M131" s="5">
        <v>272</v>
      </c>
      <c r="N131" s="8">
        <v>4</v>
      </c>
      <c r="O131">
        <f t="shared" ref="O131:O194" si="2">I131-J131</f>
        <v>8</v>
      </c>
    </row>
    <row r="132" spans="1:15" hidden="1">
      <c r="A132" s="4">
        <v>9</v>
      </c>
      <c r="B132" s="5" t="s">
        <v>19</v>
      </c>
      <c r="C132" s="6">
        <v>44507</v>
      </c>
      <c r="D132" s="5" t="s">
        <v>20</v>
      </c>
      <c r="E132" s="5" t="s">
        <v>15</v>
      </c>
      <c r="F132" t="s">
        <v>43</v>
      </c>
      <c r="G132" s="5" t="s">
        <v>17</v>
      </c>
      <c r="H132" t="s">
        <v>52</v>
      </c>
      <c r="I132" s="7">
        <v>23</v>
      </c>
      <c r="J132" s="5">
        <v>16</v>
      </c>
      <c r="K132" s="5">
        <v>247</v>
      </c>
      <c r="L132" s="5">
        <v>1</v>
      </c>
      <c r="M132" s="5">
        <v>403</v>
      </c>
      <c r="N132" s="8">
        <v>3</v>
      </c>
      <c r="O132">
        <f t="shared" si="2"/>
        <v>7</v>
      </c>
    </row>
    <row r="133" spans="1:15">
      <c r="A133" s="4">
        <v>9</v>
      </c>
      <c r="B133" s="5" t="s">
        <v>19</v>
      </c>
      <c r="C133" s="6">
        <v>44507</v>
      </c>
      <c r="D133" s="5" t="s">
        <v>54</v>
      </c>
      <c r="E133" s="5" t="s">
        <v>17</v>
      </c>
      <c r="F133" t="s">
        <v>37</v>
      </c>
      <c r="G133" s="9" t="s">
        <v>15</v>
      </c>
      <c r="H133" t="s">
        <v>21</v>
      </c>
      <c r="I133" s="7">
        <v>27</v>
      </c>
      <c r="J133" s="5">
        <v>24</v>
      </c>
      <c r="K133" s="5">
        <v>445</v>
      </c>
      <c r="L133" s="5">
        <v>0</v>
      </c>
      <c r="M133" s="5">
        <v>331</v>
      </c>
      <c r="N133" s="8">
        <v>0</v>
      </c>
      <c r="O133">
        <f t="shared" si="2"/>
        <v>3</v>
      </c>
    </row>
    <row r="134" spans="1:15" hidden="1">
      <c r="A134" s="4">
        <v>9</v>
      </c>
      <c r="B134" s="5" t="s">
        <v>19</v>
      </c>
      <c r="C134" s="6">
        <v>44507</v>
      </c>
      <c r="D134" s="5" t="s">
        <v>39</v>
      </c>
      <c r="E134" s="5" t="s">
        <v>17</v>
      </c>
      <c r="F134" t="s">
        <v>31</v>
      </c>
      <c r="G134" s="9" t="s">
        <v>15</v>
      </c>
      <c r="H134" t="s">
        <v>33</v>
      </c>
      <c r="I134" s="7">
        <v>31</v>
      </c>
      <c r="J134" s="5">
        <v>17</v>
      </c>
      <c r="K134" s="5">
        <v>437</v>
      </c>
      <c r="L134" s="5">
        <v>0</v>
      </c>
      <c r="M134" s="5">
        <v>337</v>
      </c>
      <c r="N134" s="8">
        <v>3</v>
      </c>
      <c r="O134">
        <f t="shared" si="2"/>
        <v>14</v>
      </c>
    </row>
    <row r="135" spans="1:15" hidden="1">
      <c r="A135" s="4">
        <v>9</v>
      </c>
      <c r="B135" s="5" t="s">
        <v>19</v>
      </c>
      <c r="C135" s="6">
        <v>44507</v>
      </c>
      <c r="D135" s="5" t="s">
        <v>39</v>
      </c>
      <c r="E135" s="5" t="s">
        <v>15</v>
      </c>
      <c r="F135" t="s">
        <v>40</v>
      </c>
      <c r="G135" s="5" t="s">
        <v>17</v>
      </c>
      <c r="H135" t="s">
        <v>45</v>
      </c>
      <c r="I135" s="7">
        <v>13</v>
      </c>
      <c r="J135" s="5">
        <v>7</v>
      </c>
      <c r="K135" s="5">
        <v>237</v>
      </c>
      <c r="L135" s="5">
        <v>0</v>
      </c>
      <c r="M135" s="5">
        <v>301</v>
      </c>
      <c r="N135" s="8">
        <v>2</v>
      </c>
      <c r="O135">
        <f t="shared" si="2"/>
        <v>6</v>
      </c>
    </row>
    <row r="136" spans="1:15" hidden="1">
      <c r="A136" s="4">
        <v>9</v>
      </c>
      <c r="B136" s="5" t="s">
        <v>19</v>
      </c>
      <c r="C136" s="6">
        <v>44507</v>
      </c>
      <c r="D136" s="5" t="s">
        <v>14</v>
      </c>
      <c r="E136" s="5" t="s">
        <v>17</v>
      </c>
      <c r="F136" t="s">
        <v>32</v>
      </c>
      <c r="G136" s="9" t="s">
        <v>15</v>
      </c>
      <c r="H136" t="s">
        <v>48</v>
      </c>
      <c r="I136" s="7">
        <v>28</v>
      </c>
      <c r="J136" s="5">
        <v>16</v>
      </c>
      <c r="K136" s="5">
        <v>194</v>
      </c>
      <c r="L136" s="5">
        <v>1</v>
      </c>
      <c r="M136" s="5">
        <v>347</v>
      </c>
      <c r="N136" s="8">
        <v>2</v>
      </c>
      <c r="O136">
        <f t="shared" si="2"/>
        <v>12</v>
      </c>
    </row>
    <row r="137" spans="1:15" hidden="1">
      <c r="A137" s="4">
        <v>9</v>
      </c>
      <c r="B137" s="5" t="s">
        <v>50</v>
      </c>
      <c r="C137" s="6">
        <v>44508</v>
      </c>
      <c r="D137" s="5" t="s">
        <v>51</v>
      </c>
      <c r="E137" s="5" t="s">
        <v>15</v>
      </c>
      <c r="F137" t="s">
        <v>23</v>
      </c>
      <c r="G137" s="5" t="s">
        <v>17</v>
      </c>
      <c r="H137" t="s">
        <v>49</v>
      </c>
      <c r="I137" s="7">
        <v>29</v>
      </c>
      <c r="J137" s="5">
        <v>27</v>
      </c>
      <c r="K137" s="5">
        <v>280</v>
      </c>
      <c r="L137" s="5">
        <v>1</v>
      </c>
      <c r="M137" s="5">
        <v>414</v>
      </c>
      <c r="N137" s="8">
        <v>2</v>
      </c>
      <c r="O137">
        <f t="shared" si="2"/>
        <v>2</v>
      </c>
    </row>
    <row r="138" spans="1:15" hidden="1">
      <c r="A138" s="4">
        <v>10</v>
      </c>
      <c r="B138" s="5" t="s">
        <v>13</v>
      </c>
      <c r="C138" s="6">
        <v>44511</v>
      </c>
      <c r="D138" s="5" t="s">
        <v>14</v>
      </c>
      <c r="E138" s="5" t="s">
        <v>15</v>
      </c>
      <c r="F138" t="s">
        <v>46</v>
      </c>
      <c r="G138" s="5" t="s">
        <v>17</v>
      </c>
      <c r="H138" t="s">
        <v>53</v>
      </c>
      <c r="I138" s="7">
        <v>22</v>
      </c>
      <c r="J138" s="5">
        <v>10</v>
      </c>
      <c r="K138" s="5">
        <v>350</v>
      </c>
      <c r="L138" s="5">
        <v>0</v>
      </c>
      <c r="M138" s="5">
        <v>304</v>
      </c>
      <c r="N138" s="8">
        <v>2</v>
      </c>
      <c r="O138">
        <f t="shared" si="2"/>
        <v>12</v>
      </c>
    </row>
    <row r="139" spans="1:15" hidden="1">
      <c r="A139" s="4">
        <v>10</v>
      </c>
      <c r="B139" s="5" t="s">
        <v>19</v>
      </c>
      <c r="C139" s="6">
        <v>44514</v>
      </c>
      <c r="D139" s="5" t="s">
        <v>20</v>
      </c>
      <c r="E139" s="5" t="s">
        <v>15</v>
      </c>
      <c r="F139" t="s">
        <v>18</v>
      </c>
      <c r="G139" s="5" t="s">
        <v>17</v>
      </c>
      <c r="H139" t="s">
        <v>22</v>
      </c>
      <c r="I139" s="7">
        <v>43</v>
      </c>
      <c r="J139" s="5">
        <v>3</v>
      </c>
      <c r="K139" s="5">
        <v>431</v>
      </c>
      <c r="L139" s="5">
        <v>1</v>
      </c>
      <c r="M139" s="5">
        <v>214</v>
      </c>
      <c r="N139" s="8">
        <v>3</v>
      </c>
      <c r="O139">
        <f t="shared" si="2"/>
        <v>40</v>
      </c>
    </row>
    <row r="140" spans="1:15">
      <c r="A140" s="4">
        <v>10</v>
      </c>
      <c r="B140" s="5" t="s">
        <v>19</v>
      </c>
      <c r="C140" s="6">
        <v>44514</v>
      </c>
      <c r="D140" s="5" t="s">
        <v>20</v>
      </c>
      <c r="E140" s="5" t="s">
        <v>17</v>
      </c>
      <c r="F140" t="s">
        <v>24</v>
      </c>
      <c r="G140" s="9" t="s">
        <v>15</v>
      </c>
      <c r="H140" t="s">
        <v>26</v>
      </c>
      <c r="I140" s="7">
        <v>45</v>
      </c>
      <c r="J140" s="5">
        <v>17</v>
      </c>
      <c r="K140" s="5">
        <v>489</v>
      </c>
      <c r="L140" s="5">
        <v>2</v>
      </c>
      <c r="M140" s="5">
        <v>366</v>
      </c>
      <c r="N140" s="8">
        <v>5</v>
      </c>
      <c r="O140">
        <f t="shared" si="2"/>
        <v>28</v>
      </c>
    </row>
    <row r="141" spans="1:15">
      <c r="A141" s="4">
        <v>10</v>
      </c>
      <c r="B141" s="5" t="s">
        <v>19</v>
      </c>
      <c r="C141" s="6">
        <v>44514</v>
      </c>
      <c r="D141" s="5" t="s">
        <v>20</v>
      </c>
      <c r="E141" s="5" t="s">
        <v>15</v>
      </c>
      <c r="F141" t="s">
        <v>23</v>
      </c>
      <c r="G141" s="5" t="s">
        <v>17</v>
      </c>
      <c r="H141" t="s">
        <v>34</v>
      </c>
      <c r="I141" s="5">
        <v>16</v>
      </c>
      <c r="J141" s="5">
        <v>16</v>
      </c>
      <c r="K141" s="5">
        <v>387</v>
      </c>
      <c r="L141" s="5">
        <v>3</v>
      </c>
      <c r="M141" s="5">
        <v>306</v>
      </c>
      <c r="N141" s="8">
        <v>0</v>
      </c>
    </row>
    <row r="142" spans="1:15" hidden="1">
      <c r="A142" s="4">
        <v>10</v>
      </c>
      <c r="B142" s="5" t="s">
        <v>19</v>
      </c>
      <c r="C142" s="6">
        <v>44514</v>
      </c>
      <c r="D142" s="5" t="s">
        <v>20</v>
      </c>
      <c r="E142" s="5" t="s">
        <v>15</v>
      </c>
      <c r="F142" t="s">
        <v>32</v>
      </c>
      <c r="G142" s="5" t="s">
        <v>17</v>
      </c>
      <c r="H142" t="s">
        <v>44</v>
      </c>
      <c r="I142" s="7">
        <v>23</v>
      </c>
      <c r="J142" s="5">
        <v>21</v>
      </c>
      <c r="K142" s="5">
        <v>264</v>
      </c>
      <c r="L142" s="5">
        <v>0</v>
      </c>
      <c r="M142" s="5">
        <v>373</v>
      </c>
      <c r="N142" s="8">
        <v>1</v>
      </c>
      <c r="O142">
        <f t="shared" si="2"/>
        <v>2</v>
      </c>
    </row>
    <row r="143" spans="1:15" hidden="1">
      <c r="A143" s="4">
        <v>10</v>
      </c>
      <c r="B143" s="5" t="s">
        <v>19</v>
      </c>
      <c r="C143" s="6">
        <v>44514</v>
      </c>
      <c r="D143" s="5" t="s">
        <v>20</v>
      </c>
      <c r="E143" s="5" t="s">
        <v>15</v>
      </c>
      <c r="F143" t="s">
        <v>38</v>
      </c>
      <c r="G143" s="5" t="s">
        <v>17</v>
      </c>
      <c r="H143" t="s">
        <v>16</v>
      </c>
      <c r="I143" s="7">
        <v>29</v>
      </c>
      <c r="J143" s="5">
        <v>19</v>
      </c>
      <c r="K143" s="5">
        <v>320</v>
      </c>
      <c r="L143" s="5">
        <v>1</v>
      </c>
      <c r="M143" s="5">
        <v>273</v>
      </c>
      <c r="N143" s="8">
        <v>2</v>
      </c>
      <c r="O143">
        <f t="shared" si="2"/>
        <v>10</v>
      </c>
    </row>
    <row r="144" spans="1:15" hidden="1">
      <c r="A144" s="4">
        <v>10</v>
      </c>
      <c r="B144" s="5" t="s">
        <v>19</v>
      </c>
      <c r="C144" s="6">
        <v>44514</v>
      </c>
      <c r="D144" s="5" t="s">
        <v>20</v>
      </c>
      <c r="E144" s="5" t="s">
        <v>15</v>
      </c>
      <c r="F144" t="s">
        <v>47</v>
      </c>
      <c r="G144" s="5" t="s">
        <v>17</v>
      </c>
      <c r="H144" t="s">
        <v>41</v>
      </c>
      <c r="I144" s="7">
        <v>45</v>
      </c>
      <c r="J144" s="5">
        <v>7</v>
      </c>
      <c r="K144" s="5">
        <v>452</v>
      </c>
      <c r="L144" s="5">
        <v>0</v>
      </c>
      <c r="M144" s="5">
        <v>217</v>
      </c>
      <c r="N144" s="8">
        <v>1</v>
      </c>
      <c r="O144">
        <f t="shared" si="2"/>
        <v>38</v>
      </c>
    </row>
    <row r="145" spans="1:15" hidden="1">
      <c r="A145" s="4">
        <v>10</v>
      </c>
      <c r="B145" s="5" t="s">
        <v>19</v>
      </c>
      <c r="C145" s="6">
        <v>44514</v>
      </c>
      <c r="D145" s="5" t="s">
        <v>20</v>
      </c>
      <c r="E145" s="5" t="s">
        <v>15</v>
      </c>
      <c r="F145" t="s">
        <v>30</v>
      </c>
      <c r="G145" s="5" t="s">
        <v>17</v>
      </c>
      <c r="H145" t="s">
        <v>36</v>
      </c>
      <c r="I145" s="7">
        <v>23</v>
      </c>
      <c r="J145" s="5">
        <v>17</v>
      </c>
      <c r="K145" s="5">
        <v>295</v>
      </c>
      <c r="L145" s="5">
        <v>0</v>
      </c>
      <c r="M145" s="5">
        <v>331</v>
      </c>
      <c r="N145" s="8">
        <v>1</v>
      </c>
      <c r="O145">
        <f t="shared" si="2"/>
        <v>6</v>
      </c>
    </row>
    <row r="146" spans="1:15" hidden="1">
      <c r="A146" s="4">
        <v>10</v>
      </c>
      <c r="B146" s="5" t="s">
        <v>19</v>
      </c>
      <c r="C146" s="6">
        <v>44514</v>
      </c>
      <c r="D146" s="5" t="s">
        <v>54</v>
      </c>
      <c r="E146" s="5" t="s">
        <v>17</v>
      </c>
      <c r="F146" t="s">
        <v>28</v>
      </c>
      <c r="G146" s="9" t="s">
        <v>15</v>
      </c>
      <c r="H146" t="s">
        <v>37</v>
      </c>
      <c r="I146" s="7">
        <v>27</v>
      </c>
      <c r="J146" s="5">
        <v>20</v>
      </c>
      <c r="K146" s="5">
        <v>381</v>
      </c>
      <c r="L146" s="5">
        <v>1</v>
      </c>
      <c r="M146" s="5">
        <v>253</v>
      </c>
      <c r="N146" s="8">
        <v>1</v>
      </c>
      <c r="O146">
        <f t="shared" si="2"/>
        <v>7</v>
      </c>
    </row>
    <row r="147" spans="1:15" hidden="1">
      <c r="A147" s="4">
        <v>10</v>
      </c>
      <c r="B147" s="5" t="s">
        <v>19</v>
      </c>
      <c r="C147" s="6">
        <v>44514</v>
      </c>
      <c r="D147" s="5" t="s">
        <v>54</v>
      </c>
      <c r="E147" s="5" t="s">
        <v>17</v>
      </c>
      <c r="F147" t="s">
        <v>25</v>
      </c>
      <c r="G147" s="9" t="s">
        <v>15</v>
      </c>
      <c r="H147" t="s">
        <v>31</v>
      </c>
      <c r="I147" s="7">
        <v>34</v>
      </c>
      <c r="J147" s="5">
        <v>10</v>
      </c>
      <c r="K147" s="5">
        <v>341</v>
      </c>
      <c r="L147" s="5">
        <v>2</v>
      </c>
      <c r="M147" s="5">
        <v>169</v>
      </c>
      <c r="N147" s="8">
        <v>2</v>
      </c>
      <c r="O147">
        <f t="shared" si="2"/>
        <v>24</v>
      </c>
    </row>
    <row r="148" spans="1:15" hidden="1">
      <c r="A148" s="4">
        <v>10</v>
      </c>
      <c r="B148" s="5" t="s">
        <v>19</v>
      </c>
      <c r="C148" s="6">
        <v>44514</v>
      </c>
      <c r="D148" s="5" t="s">
        <v>39</v>
      </c>
      <c r="E148" s="5" t="s">
        <v>17</v>
      </c>
      <c r="F148" t="s">
        <v>21</v>
      </c>
      <c r="G148" s="9" t="s">
        <v>15</v>
      </c>
      <c r="H148" t="s">
        <v>42</v>
      </c>
      <c r="I148" s="7">
        <v>30</v>
      </c>
      <c r="J148" s="5">
        <v>13</v>
      </c>
      <c r="K148" s="5">
        <v>386</v>
      </c>
      <c r="L148" s="5">
        <v>1</v>
      </c>
      <c r="M148" s="5">
        <v>308</v>
      </c>
      <c r="N148" s="8">
        <v>1</v>
      </c>
      <c r="O148">
        <f t="shared" si="2"/>
        <v>17</v>
      </c>
    </row>
    <row r="149" spans="1:15" hidden="1">
      <c r="A149" s="4">
        <v>10</v>
      </c>
      <c r="B149" s="5" t="s">
        <v>19</v>
      </c>
      <c r="C149" s="6">
        <v>44514</v>
      </c>
      <c r="D149" s="5" t="s">
        <v>39</v>
      </c>
      <c r="E149" s="5" t="s">
        <v>15</v>
      </c>
      <c r="F149" t="s">
        <v>45</v>
      </c>
      <c r="G149" s="5" t="s">
        <v>17</v>
      </c>
      <c r="H149" t="s">
        <v>29</v>
      </c>
      <c r="I149" s="7">
        <v>17</v>
      </c>
      <c r="J149" s="5">
        <v>0</v>
      </c>
      <c r="K149" s="5">
        <v>393</v>
      </c>
      <c r="L149" s="5">
        <v>1</v>
      </c>
      <c r="M149" s="5">
        <v>208</v>
      </c>
      <c r="N149" s="8">
        <v>2</v>
      </c>
      <c r="O149">
        <f t="shared" si="2"/>
        <v>17</v>
      </c>
    </row>
    <row r="150" spans="1:15" hidden="1">
      <c r="A150" s="4">
        <v>10</v>
      </c>
      <c r="B150" s="5" t="s">
        <v>19</v>
      </c>
      <c r="C150" s="6">
        <v>44514</v>
      </c>
      <c r="D150" s="5" t="s">
        <v>14</v>
      </c>
      <c r="E150" s="5" t="s">
        <v>17</v>
      </c>
      <c r="F150" t="s">
        <v>40</v>
      </c>
      <c r="G150" s="9" t="s">
        <v>15</v>
      </c>
      <c r="H150" t="s">
        <v>52</v>
      </c>
      <c r="I150" s="7">
        <v>41</v>
      </c>
      <c r="J150" s="5">
        <v>14</v>
      </c>
      <c r="K150" s="5">
        <v>516</v>
      </c>
      <c r="L150" s="5">
        <v>1</v>
      </c>
      <c r="M150" s="5">
        <v>299</v>
      </c>
      <c r="N150" s="8">
        <v>2</v>
      </c>
      <c r="O150">
        <f t="shared" si="2"/>
        <v>27</v>
      </c>
    </row>
    <row r="151" spans="1:15" hidden="1">
      <c r="A151" s="4">
        <v>10</v>
      </c>
      <c r="B151" s="5" t="s">
        <v>50</v>
      </c>
      <c r="C151" s="6">
        <v>44515</v>
      </c>
      <c r="D151" s="5" t="s">
        <v>51</v>
      </c>
      <c r="E151" s="5" t="s">
        <v>15</v>
      </c>
      <c r="F151" t="s">
        <v>33</v>
      </c>
      <c r="G151" s="5" t="s">
        <v>17</v>
      </c>
      <c r="H151" t="s">
        <v>48</v>
      </c>
      <c r="I151" s="7">
        <v>31</v>
      </c>
      <c r="J151" s="5">
        <v>10</v>
      </c>
      <c r="K151" s="5">
        <v>335</v>
      </c>
      <c r="L151" s="5">
        <v>0</v>
      </c>
      <c r="M151" s="5">
        <v>278</v>
      </c>
      <c r="N151" s="8">
        <v>2</v>
      </c>
      <c r="O151">
        <f t="shared" si="2"/>
        <v>21</v>
      </c>
    </row>
    <row r="152" spans="1:15">
      <c r="A152" s="4">
        <v>11</v>
      </c>
      <c r="B152" s="5" t="s">
        <v>13</v>
      </c>
      <c r="C152" s="6">
        <v>44518</v>
      </c>
      <c r="D152" s="5" t="s">
        <v>14</v>
      </c>
      <c r="E152" s="5" t="s">
        <v>17</v>
      </c>
      <c r="F152" t="s">
        <v>47</v>
      </c>
      <c r="G152" s="9" t="s">
        <v>15</v>
      </c>
      <c r="H152" t="s">
        <v>22</v>
      </c>
      <c r="I152" s="7">
        <v>25</v>
      </c>
      <c r="J152" s="5">
        <v>0</v>
      </c>
      <c r="K152" s="5">
        <v>308</v>
      </c>
      <c r="L152" s="5">
        <v>1</v>
      </c>
      <c r="M152" s="5">
        <v>165</v>
      </c>
      <c r="N152" s="8">
        <v>4</v>
      </c>
      <c r="O152">
        <f t="shared" si="2"/>
        <v>25</v>
      </c>
    </row>
    <row r="153" spans="1:15">
      <c r="A153" s="4">
        <v>11</v>
      </c>
      <c r="B153" s="5" t="s">
        <v>19</v>
      </c>
      <c r="C153" s="6">
        <v>44521</v>
      </c>
      <c r="D153" s="5" t="s">
        <v>20</v>
      </c>
      <c r="E153" s="5" t="s">
        <v>17</v>
      </c>
      <c r="F153" t="s">
        <v>30</v>
      </c>
      <c r="G153" s="9" t="s">
        <v>15</v>
      </c>
      <c r="H153" t="s">
        <v>24</v>
      </c>
      <c r="I153" s="7">
        <v>41</v>
      </c>
      <c r="J153" s="5">
        <v>15</v>
      </c>
      <c r="K153" s="5">
        <v>370</v>
      </c>
      <c r="L153" s="5">
        <v>0</v>
      </c>
      <c r="M153" s="5">
        <v>311</v>
      </c>
      <c r="N153" s="8">
        <v>4</v>
      </c>
      <c r="O153">
        <f t="shared" si="2"/>
        <v>26</v>
      </c>
    </row>
    <row r="154" spans="1:15" hidden="1">
      <c r="A154" s="4">
        <v>11</v>
      </c>
      <c r="B154" s="5" t="s">
        <v>19</v>
      </c>
      <c r="C154" s="6">
        <v>44521</v>
      </c>
      <c r="D154" s="5" t="s">
        <v>20</v>
      </c>
      <c r="E154" s="5" t="s">
        <v>17</v>
      </c>
      <c r="F154" t="s">
        <v>53</v>
      </c>
      <c r="G154" s="9" t="s">
        <v>15</v>
      </c>
      <c r="H154" t="s">
        <v>49</v>
      </c>
      <c r="I154" s="7">
        <v>16</v>
      </c>
      <c r="J154" s="5">
        <v>13</v>
      </c>
      <c r="K154" s="5">
        <v>299</v>
      </c>
      <c r="L154" s="5">
        <v>1</v>
      </c>
      <c r="M154" s="5">
        <v>353</v>
      </c>
      <c r="N154" s="8">
        <v>1</v>
      </c>
      <c r="O154">
        <f t="shared" si="2"/>
        <v>3</v>
      </c>
    </row>
    <row r="155" spans="1:15">
      <c r="A155" s="4">
        <v>11</v>
      </c>
      <c r="B155" s="5" t="s">
        <v>19</v>
      </c>
      <c r="C155" s="6">
        <v>44521</v>
      </c>
      <c r="D155" s="5" t="s">
        <v>20</v>
      </c>
      <c r="E155" s="5" t="s">
        <v>17</v>
      </c>
      <c r="F155" t="s">
        <v>35</v>
      </c>
      <c r="G155" s="9" t="s">
        <v>15</v>
      </c>
      <c r="H155" t="s">
        <v>32</v>
      </c>
      <c r="I155" s="7">
        <v>22</v>
      </c>
      <c r="J155" s="5">
        <v>13</v>
      </c>
      <c r="K155" s="5">
        <v>190</v>
      </c>
      <c r="L155" s="5">
        <v>0</v>
      </c>
      <c r="M155" s="5">
        <v>420</v>
      </c>
      <c r="N155" s="8">
        <v>5</v>
      </c>
      <c r="O155">
        <f t="shared" si="2"/>
        <v>9</v>
      </c>
    </row>
    <row r="156" spans="1:15" hidden="1">
      <c r="A156" s="4">
        <v>11</v>
      </c>
      <c r="B156" s="5" t="s">
        <v>19</v>
      </c>
      <c r="C156" s="6">
        <v>44521</v>
      </c>
      <c r="D156" s="5" t="s">
        <v>20</v>
      </c>
      <c r="E156" s="5" t="s">
        <v>17</v>
      </c>
      <c r="F156" t="s">
        <v>33</v>
      </c>
      <c r="G156" s="9" t="s">
        <v>15</v>
      </c>
      <c r="H156" t="s">
        <v>36</v>
      </c>
      <c r="I156" s="7">
        <v>30</v>
      </c>
      <c r="J156" s="5">
        <v>10</v>
      </c>
      <c r="K156" s="5">
        <v>333</v>
      </c>
      <c r="L156" s="5">
        <v>0</v>
      </c>
      <c r="M156" s="5">
        <v>200</v>
      </c>
      <c r="N156" s="8">
        <v>2</v>
      </c>
      <c r="O156">
        <f t="shared" si="2"/>
        <v>20</v>
      </c>
    </row>
    <row r="157" spans="1:15" hidden="1">
      <c r="A157" s="4">
        <v>11</v>
      </c>
      <c r="B157" s="5" t="s">
        <v>19</v>
      </c>
      <c r="C157" s="6">
        <v>44521</v>
      </c>
      <c r="D157" s="5" t="s">
        <v>20</v>
      </c>
      <c r="E157" s="5" t="s">
        <v>15</v>
      </c>
      <c r="F157" t="s">
        <v>21</v>
      </c>
      <c r="G157" s="5" t="s">
        <v>17</v>
      </c>
      <c r="H157" t="s">
        <v>44</v>
      </c>
      <c r="I157" s="7">
        <v>40</v>
      </c>
      <c r="J157" s="5">
        <v>29</v>
      </c>
      <c r="K157" s="5">
        <v>380</v>
      </c>
      <c r="L157" s="5">
        <v>1</v>
      </c>
      <c r="M157" s="5">
        <v>323</v>
      </c>
      <c r="N157" s="8">
        <v>3</v>
      </c>
      <c r="O157">
        <f t="shared" si="2"/>
        <v>11</v>
      </c>
    </row>
    <row r="158" spans="1:15">
      <c r="A158" s="4">
        <v>11</v>
      </c>
      <c r="B158" s="5" t="s">
        <v>19</v>
      </c>
      <c r="C158" s="6">
        <v>44521</v>
      </c>
      <c r="D158" s="5" t="s">
        <v>20</v>
      </c>
      <c r="E158" s="5" t="s">
        <v>17</v>
      </c>
      <c r="F158" t="s">
        <v>38</v>
      </c>
      <c r="G158" s="9" t="s">
        <v>15</v>
      </c>
      <c r="H158" t="s">
        <v>25</v>
      </c>
      <c r="I158" s="7">
        <v>27</v>
      </c>
      <c r="J158" s="5">
        <v>21</v>
      </c>
      <c r="K158" s="5">
        <v>369</v>
      </c>
      <c r="L158" s="5">
        <v>1</v>
      </c>
      <c r="M158" s="5">
        <v>297</v>
      </c>
      <c r="N158" s="8">
        <v>0</v>
      </c>
      <c r="O158">
        <f t="shared" si="2"/>
        <v>6</v>
      </c>
    </row>
    <row r="159" spans="1:15" hidden="1">
      <c r="A159" s="4">
        <v>11</v>
      </c>
      <c r="B159" s="5" t="s">
        <v>19</v>
      </c>
      <c r="C159" s="6">
        <v>44521</v>
      </c>
      <c r="D159" s="5" t="s">
        <v>20</v>
      </c>
      <c r="E159" s="5" t="s">
        <v>15</v>
      </c>
      <c r="F159" t="s">
        <v>41</v>
      </c>
      <c r="G159" s="5" t="s">
        <v>17</v>
      </c>
      <c r="H159" t="s">
        <v>34</v>
      </c>
      <c r="I159" s="7">
        <v>13</v>
      </c>
      <c r="J159" s="5">
        <v>10</v>
      </c>
      <c r="K159" s="5">
        <v>349</v>
      </c>
      <c r="L159" s="5">
        <v>2</v>
      </c>
      <c r="M159" s="5">
        <v>245</v>
      </c>
      <c r="N159" s="8">
        <v>2</v>
      </c>
      <c r="O159">
        <f t="shared" si="2"/>
        <v>3</v>
      </c>
    </row>
    <row r="160" spans="1:15">
      <c r="A160" s="4">
        <v>11</v>
      </c>
      <c r="B160" s="5" t="s">
        <v>19</v>
      </c>
      <c r="C160" s="6">
        <v>44521</v>
      </c>
      <c r="D160" s="5" t="s">
        <v>20</v>
      </c>
      <c r="E160" s="5" t="s">
        <v>15</v>
      </c>
      <c r="F160" t="s">
        <v>28</v>
      </c>
      <c r="G160" s="5" t="s">
        <v>17</v>
      </c>
      <c r="H160" t="s">
        <v>45</v>
      </c>
      <c r="I160" s="7">
        <v>34</v>
      </c>
      <c r="J160" s="5">
        <v>31</v>
      </c>
      <c r="K160" s="5">
        <v>408</v>
      </c>
      <c r="L160" s="5">
        <v>0</v>
      </c>
      <c r="M160" s="5">
        <v>467</v>
      </c>
      <c r="N160" s="8">
        <v>0</v>
      </c>
      <c r="O160">
        <f t="shared" si="2"/>
        <v>3</v>
      </c>
    </row>
    <row r="161" spans="1:15" hidden="1">
      <c r="A161" s="4">
        <v>11</v>
      </c>
      <c r="B161" s="5" t="s">
        <v>19</v>
      </c>
      <c r="C161" s="6">
        <v>44521</v>
      </c>
      <c r="D161" s="5" t="s">
        <v>20</v>
      </c>
      <c r="E161" s="5" t="s">
        <v>17</v>
      </c>
      <c r="F161" t="s">
        <v>46</v>
      </c>
      <c r="G161" s="9" t="s">
        <v>15</v>
      </c>
      <c r="H161" t="s">
        <v>26</v>
      </c>
      <c r="I161" s="7">
        <v>24</v>
      </c>
      <c r="J161" s="5">
        <v>17</v>
      </c>
      <c r="K161" s="5">
        <v>388</v>
      </c>
      <c r="L161" s="5">
        <v>1</v>
      </c>
      <c r="M161" s="5">
        <v>380</v>
      </c>
      <c r="N161" s="8">
        <v>1</v>
      </c>
      <c r="O161">
        <f t="shared" si="2"/>
        <v>7</v>
      </c>
    </row>
    <row r="162" spans="1:15" hidden="1">
      <c r="A162" s="4">
        <v>11</v>
      </c>
      <c r="B162" s="5" t="s">
        <v>19</v>
      </c>
      <c r="C162" s="6">
        <v>44521</v>
      </c>
      <c r="D162" s="5" t="s">
        <v>54</v>
      </c>
      <c r="E162" s="5" t="s">
        <v>17</v>
      </c>
      <c r="F162" t="s">
        <v>27</v>
      </c>
      <c r="G162" s="9" t="s">
        <v>15</v>
      </c>
      <c r="H162" t="s">
        <v>52</v>
      </c>
      <c r="I162" s="7">
        <v>32</v>
      </c>
      <c r="J162" s="5">
        <v>13</v>
      </c>
      <c r="K162" s="5">
        <v>288</v>
      </c>
      <c r="L162" s="5">
        <v>1</v>
      </c>
      <c r="M162" s="5">
        <v>278</v>
      </c>
      <c r="N162" s="8">
        <v>2</v>
      </c>
      <c r="O162">
        <f t="shared" si="2"/>
        <v>19</v>
      </c>
    </row>
    <row r="163" spans="1:15" hidden="1">
      <c r="A163" s="4">
        <v>11</v>
      </c>
      <c r="B163" s="5" t="s">
        <v>19</v>
      </c>
      <c r="C163" s="6">
        <v>44521</v>
      </c>
      <c r="D163" s="5" t="s">
        <v>39</v>
      </c>
      <c r="E163" s="5" t="s">
        <v>15</v>
      </c>
      <c r="F163" t="s">
        <v>40</v>
      </c>
      <c r="G163" s="5" t="s">
        <v>17</v>
      </c>
      <c r="H163" t="s">
        <v>18</v>
      </c>
      <c r="I163" s="7">
        <v>19</v>
      </c>
      <c r="J163" s="5">
        <v>9</v>
      </c>
      <c r="K163" s="5">
        <v>370</v>
      </c>
      <c r="L163" s="5">
        <v>2</v>
      </c>
      <c r="M163" s="5">
        <v>276</v>
      </c>
      <c r="N163" s="8">
        <v>3</v>
      </c>
      <c r="O163">
        <f t="shared" si="2"/>
        <v>10</v>
      </c>
    </row>
    <row r="164" spans="1:15">
      <c r="A164" s="4">
        <v>11</v>
      </c>
      <c r="B164" s="5" t="s">
        <v>19</v>
      </c>
      <c r="C164" s="6">
        <v>44521</v>
      </c>
      <c r="D164" s="5" t="s">
        <v>39</v>
      </c>
      <c r="E164" s="5" t="s">
        <v>17</v>
      </c>
      <c r="F164" t="s">
        <v>31</v>
      </c>
      <c r="G164" s="9" t="s">
        <v>15</v>
      </c>
      <c r="H164" t="s">
        <v>29</v>
      </c>
      <c r="I164" s="7">
        <v>23</v>
      </c>
      <c r="J164" s="5">
        <v>13</v>
      </c>
      <c r="K164" s="5">
        <v>413</v>
      </c>
      <c r="L164" s="5">
        <v>0</v>
      </c>
      <c r="M164" s="5">
        <v>266</v>
      </c>
      <c r="N164" s="8">
        <v>0</v>
      </c>
      <c r="O164">
        <f t="shared" si="2"/>
        <v>10</v>
      </c>
    </row>
    <row r="165" spans="1:15">
      <c r="A165" s="4">
        <v>11</v>
      </c>
      <c r="B165" s="5" t="s">
        <v>19</v>
      </c>
      <c r="C165" s="6">
        <v>44521</v>
      </c>
      <c r="D165" s="5" t="s">
        <v>14</v>
      </c>
      <c r="E165" s="5" t="s">
        <v>15</v>
      </c>
      <c r="F165" t="s">
        <v>37</v>
      </c>
      <c r="G165" s="5" t="s">
        <v>17</v>
      </c>
      <c r="H165" t="s">
        <v>23</v>
      </c>
      <c r="I165" s="7">
        <v>41</v>
      </c>
      <c r="J165" s="5">
        <v>37</v>
      </c>
      <c r="K165" s="5">
        <v>533</v>
      </c>
      <c r="L165" s="5">
        <v>1</v>
      </c>
      <c r="M165" s="5">
        <v>300</v>
      </c>
      <c r="N165" s="8">
        <v>0</v>
      </c>
      <c r="O165">
        <f t="shared" si="2"/>
        <v>4</v>
      </c>
    </row>
    <row r="166" spans="1:15" hidden="1">
      <c r="A166" s="4">
        <v>11</v>
      </c>
      <c r="B166" s="5" t="s">
        <v>50</v>
      </c>
      <c r="C166" s="6">
        <v>44522</v>
      </c>
      <c r="D166" s="5" t="s">
        <v>51</v>
      </c>
      <c r="E166" s="5" t="s">
        <v>15</v>
      </c>
      <c r="F166" t="s">
        <v>16</v>
      </c>
      <c r="G166" s="5" t="s">
        <v>17</v>
      </c>
      <c r="H166" t="s">
        <v>43</v>
      </c>
      <c r="I166" s="7">
        <v>30</v>
      </c>
      <c r="J166" s="5">
        <v>10</v>
      </c>
      <c r="K166" s="5">
        <v>402</v>
      </c>
      <c r="L166" s="5">
        <v>1</v>
      </c>
      <c r="M166" s="5">
        <v>215</v>
      </c>
      <c r="N166" s="8">
        <v>3</v>
      </c>
      <c r="O166">
        <f t="shared" si="2"/>
        <v>20</v>
      </c>
    </row>
    <row r="167" spans="1:15" hidden="1">
      <c r="A167" s="4">
        <v>12</v>
      </c>
      <c r="B167" s="5" t="s">
        <v>13</v>
      </c>
      <c r="C167" s="6">
        <v>44525</v>
      </c>
      <c r="D167" s="5" t="s">
        <v>56</v>
      </c>
      <c r="E167" s="5" t="s">
        <v>17</v>
      </c>
      <c r="F167" t="s">
        <v>49</v>
      </c>
      <c r="G167" s="9" t="s">
        <v>15</v>
      </c>
      <c r="H167" t="s">
        <v>34</v>
      </c>
      <c r="I167" s="7">
        <v>16</v>
      </c>
      <c r="J167" s="5">
        <v>14</v>
      </c>
      <c r="K167" s="5">
        <v>378</v>
      </c>
      <c r="L167" s="5">
        <v>1</v>
      </c>
      <c r="M167" s="5">
        <v>239</v>
      </c>
      <c r="N167" s="8">
        <v>1</v>
      </c>
      <c r="O167">
        <f t="shared" si="2"/>
        <v>2</v>
      </c>
    </row>
    <row r="168" spans="1:15">
      <c r="A168" s="4">
        <v>12</v>
      </c>
      <c r="B168" s="5" t="s">
        <v>13</v>
      </c>
      <c r="C168" s="6">
        <v>44525</v>
      </c>
      <c r="D168" s="5" t="s">
        <v>57</v>
      </c>
      <c r="E168" s="5" t="s">
        <v>17</v>
      </c>
      <c r="F168" t="s">
        <v>52</v>
      </c>
      <c r="G168" s="9" t="s">
        <v>15</v>
      </c>
      <c r="H168" t="s">
        <v>18</v>
      </c>
      <c r="I168" s="7">
        <v>36</v>
      </c>
      <c r="J168" s="5">
        <v>33</v>
      </c>
      <c r="K168" s="5">
        <v>509</v>
      </c>
      <c r="L168" s="5">
        <v>0</v>
      </c>
      <c r="M168" s="5">
        <v>437</v>
      </c>
      <c r="N168" s="8">
        <v>0</v>
      </c>
      <c r="O168">
        <f t="shared" si="2"/>
        <v>3</v>
      </c>
    </row>
    <row r="169" spans="1:15" hidden="1">
      <c r="A169" s="4">
        <v>12</v>
      </c>
      <c r="B169" s="5" t="s">
        <v>13</v>
      </c>
      <c r="C169" s="6">
        <v>44525</v>
      </c>
      <c r="D169" s="5" t="s">
        <v>14</v>
      </c>
      <c r="E169" s="5" t="s">
        <v>17</v>
      </c>
      <c r="F169" t="s">
        <v>24</v>
      </c>
      <c r="G169" s="9" t="s">
        <v>15</v>
      </c>
      <c r="H169" t="s">
        <v>44</v>
      </c>
      <c r="I169" s="7">
        <v>31</v>
      </c>
      <c r="J169" s="5">
        <v>6</v>
      </c>
      <c r="K169" s="5">
        <v>361</v>
      </c>
      <c r="L169" s="5">
        <v>2</v>
      </c>
      <c r="M169" s="5">
        <v>190</v>
      </c>
      <c r="N169" s="8">
        <v>1</v>
      </c>
      <c r="O169">
        <f t="shared" si="2"/>
        <v>25</v>
      </c>
    </row>
    <row r="170" spans="1:15" hidden="1">
      <c r="A170" s="4">
        <v>12</v>
      </c>
      <c r="B170" s="5" t="s">
        <v>19</v>
      </c>
      <c r="C170" s="6">
        <v>44528</v>
      </c>
      <c r="D170" s="5" t="s">
        <v>20</v>
      </c>
      <c r="E170" s="5" t="s">
        <v>17</v>
      </c>
      <c r="F170" t="s">
        <v>22</v>
      </c>
      <c r="G170" s="9" t="s">
        <v>15</v>
      </c>
      <c r="H170" t="s">
        <v>36</v>
      </c>
      <c r="I170" s="7">
        <v>21</v>
      </c>
      <c r="J170" s="5">
        <v>14</v>
      </c>
      <c r="K170" s="5">
        <v>332</v>
      </c>
      <c r="L170" s="5">
        <v>1</v>
      </c>
      <c r="M170" s="5">
        <v>357</v>
      </c>
      <c r="N170" s="8">
        <v>2</v>
      </c>
      <c r="O170">
        <f t="shared" si="2"/>
        <v>7</v>
      </c>
    </row>
    <row r="171" spans="1:15" hidden="1">
      <c r="A171" s="4">
        <v>12</v>
      </c>
      <c r="B171" s="5" t="s">
        <v>19</v>
      </c>
      <c r="C171" s="6">
        <v>44528</v>
      </c>
      <c r="D171" s="5" t="s">
        <v>20</v>
      </c>
      <c r="E171" s="5" t="s">
        <v>15</v>
      </c>
      <c r="F171" t="s">
        <v>27</v>
      </c>
      <c r="G171" s="5" t="s">
        <v>17</v>
      </c>
      <c r="H171" t="s">
        <v>23</v>
      </c>
      <c r="I171" s="7">
        <v>41</v>
      </c>
      <c r="J171" s="5">
        <v>10</v>
      </c>
      <c r="K171" s="5">
        <v>370</v>
      </c>
      <c r="L171" s="5">
        <v>1</v>
      </c>
      <c r="M171" s="5">
        <v>301</v>
      </c>
      <c r="N171" s="8">
        <v>3</v>
      </c>
      <c r="O171">
        <f t="shared" si="2"/>
        <v>31</v>
      </c>
    </row>
    <row r="172" spans="1:15" hidden="1">
      <c r="A172" s="4">
        <v>12</v>
      </c>
      <c r="B172" s="5" t="s">
        <v>19</v>
      </c>
      <c r="C172" s="6">
        <v>44528</v>
      </c>
      <c r="D172" s="5" t="s">
        <v>20</v>
      </c>
      <c r="E172" s="5" t="s">
        <v>17</v>
      </c>
      <c r="F172" t="s">
        <v>26</v>
      </c>
      <c r="G172" s="9" t="s">
        <v>15</v>
      </c>
      <c r="H172" t="s">
        <v>35</v>
      </c>
      <c r="I172" s="7">
        <v>21</v>
      </c>
      <c r="J172" s="5">
        <v>14</v>
      </c>
      <c r="K172" s="5">
        <v>266</v>
      </c>
      <c r="L172" s="5">
        <v>1</v>
      </c>
      <c r="M172" s="5">
        <v>202</v>
      </c>
      <c r="N172" s="8">
        <v>1</v>
      </c>
      <c r="O172">
        <f t="shared" si="2"/>
        <v>7</v>
      </c>
    </row>
    <row r="173" spans="1:15">
      <c r="A173" s="4">
        <v>12</v>
      </c>
      <c r="B173" s="5" t="s">
        <v>19</v>
      </c>
      <c r="C173" s="6">
        <v>44528</v>
      </c>
      <c r="D173" s="5" t="s">
        <v>20</v>
      </c>
      <c r="E173" s="5" t="s">
        <v>15</v>
      </c>
      <c r="F173" t="s">
        <v>43</v>
      </c>
      <c r="G173" s="5" t="s">
        <v>17</v>
      </c>
      <c r="H173" t="s">
        <v>21</v>
      </c>
      <c r="I173" s="7">
        <v>13</v>
      </c>
      <c r="J173" s="5">
        <v>7</v>
      </c>
      <c r="K173" s="5">
        <v>264</v>
      </c>
      <c r="L173" s="5">
        <v>0</v>
      </c>
      <c r="M173" s="5">
        <v>332</v>
      </c>
      <c r="N173" s="8">
        <v>4</v>
      </c>
      <c r="O173">
        <f t="shared" si="2"/>
        <v>6</v>
      </c>
    </row>
    <row r="174" spans="1:15" hidden="1">
      <c r="A174" s="4">
        <v>12</v>
      </c>
      <c r="B174" s="5" t="s">
        <v>19</v>
      </c>
      <c r="C174" s="6">
        <v>44528</v>
      </c>
      <c r="D174" s="5" t="s">
        <v>20</v>
      </c>
      <c r="E174" s="5" t="s">
        <v>15</v>
      </c>
      <c r="F174" t="s">
        <v>46</v>
      </c>
      <c r="G174" s="5" t="s">
        <v>17</v>
      </c>
      <c r="H174" t="s">
        <v>25</v>
      </c>
      <c r="I174" s="7">
        <v>33</v>
      </c>
      <c r="J174" s="5">
        <v>10</v>
      </c>
      <c r="K174" s="5">
        <v>315</v>
      </c>
      <c r="L174" s="5">
        <v>1</v>
      </c>
      <c r="M174" s="5">
        <v>198</v>
      </c>
      <c r="N174" s="8">
        <v>3</v>
      </c>
      <c r="O174">
        <f t="shared" si="2"/>
        <v>23</v>
      </c>
    </row>
    <row r="175" spans="1:15">
      <c r="A175" s="4">
        <v>12</v>
      </c>
      <c r="B175" s="5" t="s">
        <v>19</v>
      </c>
      <c r="C175" s="6">
        <v>44528</v>
      </c>
      <c r="D175" s="5" t="s">
        <v>20</v>
      </c>
      <c r="E175" s="5" t="s">
        <v>17</v>
      </c>
      <c r="F175" t="s">
        <v>16</v>
      </c>
      <c r="G175" s="9" t="s">
        <v>15</v>
      </c>
      <c r="H175" t="s">
        <v>30</v>
      </c>
      <c r="I175" s="7">
        <v>38</v>
      </c>
      <c r="J175" s="5">
        <v>31</v>
      </c>
      <c r="K175" s="5">
        <v>359</v>
      </c>
      <c r="L175" s="5">
        <v>2</v>
      </c>
      <c r="M175" s="5">
        <v>392</v>
      </c>
      <c r="N175" s="8">
        <v>5</v>
      </c>
      <c r="O175">
        <f t="shared" si="2"/>
        <v>7</v>
      </c>
    </row>
    <row r="176" spans="1:15">
      <c r="A176" s="4">
        <v>12</v>
      </c>
      <c r="B176" s="5" t="s">
        <v>19</v>
      </c>
      <c r="C176" s="6">
        <v>44528</v>
      </c>
      <c r="D176" s="5" t="s">
        <v>20</v>
      </c>
      <c r="E176" s="5" t="s">
        <v>15</v>
      </c>
      <c r="F176" t="s">
        <v>47</v>
      </c>
      <c r="G176" s="5" t="s">
        <v>17</v>
      </c>
      <c r="H176" t="s">
        <v>32</v>
      </c>
      <c r="I176" s="7">
        <v>36</v>
      </c>
      <c r="J176" s="5">
        <v>13</v>
      </c>
      <c r="K176" s="5">
        <v>394</v>
      </c>
      <c r="L176" s="5">
        <v>0</v>
      </c>
      <c r="M176" s="5">
        <v>355</v>
      </c>
      <c r="N176" s="8">
        <v>4</v>
      </c>
      <c r="O176">
        <f t="shared" si="2"/>
        <v>23</v>
      </c>
    </row>
    <row r="177" spans="1:15" hidden="1">
      <c r="A177" s="4">
        <v>12</v>
      </c>
      <c r="B177" s="5" t="s">
        <v>19</v>
      </c>
      <c r="C177" s="6">
        <v>44528</v>
      </c>
      <c r="D177" s="5" t="s">
        <v>54</v>
      </c>
      <c r="E177" s="5" t="s">
        <v>15</v>
      </c>
      <c r="F177" t="s">
        <v>42</v>
      </c>
      <c r="G177" s="5" t="s">
        <v>17</v>
      </c>
      <c r="H177" t="s">
        <v>37</v>
      </c>
      <c r="I177" s="7">
        <v>28</v>
      </c>
      <c r="J177" s="5">
        <v>13</v>
      </c>
      <c r="K177" s="5">
        <v>302</v>
      </c>
      <c r="L177" s="5">
        <v>1</v>
      </c>
      <c r="M177" s="5">
        <v>357</v>
      </c>
      <c r="N177" s="8">
        <v>2</v>
      </c>
      <c r="O177">
        <f t="shared" si="2"/>
        <v>15</v>
      </c>
    </row>
    <row r="178" spans="1:15" hidden="1">
      <c r="A178" s="4">
        <v>12</v>
      </c>
      <c r="B178" s="5" t="s">
        <v>19</v>
      </c>
      <c r="C178" s="6">
        <v>44528</v>
      </c>
      <c r="D178" s="5" t="s">
        <v>39</v>
      </c>
      <c r="E178" s="5" t="s">
        <v>15</v>
      </c>
      <c r="F178" t="s">
        <v>33</v>
      </c>
      <c r="G178" s="5" t="s">
        <v>17</v>
      </c>
      <c r="H178" t="s">
        <v>28</v>
      </c>
      <c r="I178" s="7">
        <v>34</v>
      </c>
      <c r="J178" s="5">
        <v>26</v>
      </c>
      <c r="K178" s="5">
        <v>423</v>
      </c>
      <c r="L178" s="5">
        <v>1</v>
      </c>
      <c r="M178" s="5">
        <v>323</v>
      </c>
      <c r="N178" s="8">
        <v>2</v>
      </c>
      <c r="O178">
        <f t="shared" si="2"/>
        <v>8</v>
      </c>
    </row>
    <row r="179" spans="1:15" hidden="1">
      <c r="A179" s="4">
        <v>12</v>
      </c>
      <c r="B179" s="5" t="s">
        <v>19</v>
      </c>
      <c r="C179" s="6">
        <v>44528</v>
      </c>
      <c r="D179" s="5" t="s">
        <v>39</v>
      </c>
      <c r="E179" s="5" t="s">
        <v>15</v>
      </c>
      <c r="F179" t="s">
        <v>45</v>
      </c>
      <c r="G179" s="5" t="s">
        <v>17</v>
      </c>
      <c r="H179" t="s">
        <v>48</v>
      </c>
      <c r="I179" s="7">
        <v>36</v>
      </c>
      <c r="J179" s="5">
        <v>28</v>
      </c>
      <c r="K179" s="5">
        <v>399</v>
      </c>
      <c r="L179" s="5">
        <v>1</v>
      </c>
      <c r="M179" s="5">
        <v>353</v>
      </c>
      <c r="N179" s="8">
        <v>3</v>
      </c>
      <c r="O179">
        <f t="shared" si="2"/>
        <v>8</v>
      </c>
    </row>
    <row r="180" spans="1:15" hidden="1">
      <c r="A180" s="4">
        <v>12</v>
      </c>
      <c r="B180" s="5" t="s">
        <v>19</v>
      </c>
      <c r="C180" s="6">
        <v>44528</v>
      </c>
      <c r="D180" s="5" t="s">
        <v>14</v>
      </c>
      <c r="E180" s="5" t="s">
        <v>15</v>
      </c>
      <c r="F180" t="s">
        <v>53</v>
      </c>
      <c r="G180" s="5" t="s">
        <v>17</v>
      </c>
      <c r="H180" t="s">
        <v>41</v>
      </c>
      <c r="I180" s="7">
        <v>16</v>
      </c>
      <c r="J180" s="5">
        <v>10</v>
      </c>
      <c r="K180" s="5">
        <v>303</v>
      </c>
      <c r="L180" s="5">
        <v>4</v>
      </c>
      <c r="M180" s="5">
        <v>262</v>
      </c>
      <c r="N180" s="8">
        <v>2</v>
      </c>
      <c r="O180">
        <f t="shared" si="2"/>
        <v>6</v>
      </c>
    </row>
    <row r="181" spans="1:15" hidden="1">
      <c r="A181" s="4">
        <v>12</v>
      </c>
      <c r="B181" s="5" t="s">
        <v>50</v>
      </c>
      <c r="C181" s="6">
        <v>44529</v>
      </c>
      <c r="D181" s="5" t="s">
        <v>51</v>
      </c>
      <c r="E181" s="5" t="s">
        <v>15</v>
      </c>
      <c r="F181" t="s">
        <v>38</v>
      </c>
      <c r="G181" s="5" t="s">
        <v>17</v>
      </c>
      <c r="H181" t="s">
        <v>29</v>
      </c>
      <c r="I181" s="7">
        <v>17</v>
      </c>
      <c r="J181" s="5">
        <v>15</v>
      </c>
      <c r="K181" s="5">
        <v>371</v>
      </c>
      <c r="L181" s="5">
        <v>1</v>
      </c>
      <c r="M181" s="5">
        <v>267</v>
      </c>
      <c r="N181" s="8">
        <v>1</v>
      </c>
      <c r="O181">
        <f t="shared" si="2"/>
        <v>2</v>
      </c>
    </row>
    <row r="182" spans="1:15">
      <c r="A182" s="4">
        <v>13</v>
      </c>
      <c r="B182" s="5" t="s">
        <v>13</v>
      </c>
      <c r="C182" s="6">
        <v>44532</v>
      </c>
      <c r="D182" s="5" t="s">
        <v>14</v>
      </c>
      <c r="E182" s="5" t="s">
        <v>17</v>
      </c>
      <c r="F182" t="s">
        <v>18</v>
      </c>
      <c r="G182" s="9" t="s">
        <v>15</v>
      </c>
      <c r="H182" t="s">
        <v>44</v>
      </c>
      <c r="I182" s="7">
        <v>27</v>
      </c>
      <c r="J182" s="5">
        <v>17</v>
      </c>
      <c r="K182" s="5">
        <v>377</v>
      </c>
      <c r="L182" s="5">
        <v>1</v>
      </c>
      <c r="M182" s="5">
        <v>405</v>
      </c>
      <c r="N182" s="8">
        <v>4</v>
      </c>
      <c r="O182">
        <f t="shared" si="2"/>
        <v>10</v>
      </c>
    </row>
    <row r="183" spans="1:15" hidden="1">
      <c r="A183" s="4">
        <v>13</v>
      </c>
      <c r="B183" s="5" t="s">
        <v>19</v>
      </c>
      <c r="C183" s="6">
        <v>44535</v>
      </c>
      <c r="D183" s="5" t="s">
        <v>20</v>
      </c>
      <c r="E183" s="5" t="s">
        <v>17</v>
      </c>
      <c r="F183" t="s">
        <v>16</v>
      </c>
      <c r="G183" s="9" t="s">
        <v>15</v>
      </c>
      <c r="H183" t="s">
        <v>22</v>
      </c>
      <c r="I183" s="7">
        <v>30</v>
      </c>
      <c r="J183" s="5">
        <v>17</v>
      </c>
      <c r="K183" s="5">
        <v>425</v>
      </c>
      <c r="L183" s="5">
        <v>1</v>
      </c>
      <c r="M183" s="5">
        <v>380</v>
      </c>
      <c r="N183" s="8">
        <v>1</v>
      </c>
      <c r="O183">
        <f t="shared" si="2"/>
        <v>13</v>
      </c>
    </row>
    <row r="184" spans="1:15">
      <c r="A184" s="4">
        <v>13</v>
      </c>
      <c r="B184" s="5" t="s">
        <v>19</v>
      </c>
      <c r="C184" s="6">
        <v>44535</v>
      </c>
      <c r="D184" s="5" t="s">
        <v>20</v>
      </c>
      <c r="E184" s="5" t="s">
        <v>17</v>
      </c>
      <c r="F184" t="s">
        <v>31</v>
      </c>
      <c r="G184" s="9" t="s">
        <v>15</v>
      </c>
      <c r="H184" t="s">
        <v>49</v>
      </c>
      <c r="I184" s="7">
        <v>33</v>
      </c>
      <c r="J184" s="5">
        <v>22</v>
      </c>
      <c r="K184" s="5">
        <v>257</v>
      </c>
      <c r="L184" s="5">
        <v>0</v>
      </c>
      <c r="M184" s="5">
        <v>329</v>
      </c>
      <c r="N184" s="8">
        <v>4</v>
      </c>
      <c r="O184">
        <f t="shared" si="2"/>
        <v>11</v>
      </c>
    </row>
    <row r="185" spans="1:15">
      <c r="A185" s="4">
        <v>13</v>
      </c>
      <c r="B185" s="5" t="s">
        <v>19</v>
      </c>
      <c r="C185" s="6">
        <v>44535</v>
      </c>
      <c r="D185" s="5" t="s">
        <v>20</v>
      </c>
      <c r="E185" s="5" t="s">
        <v>17</v>
      </c>
      <c r="F185" t="s">
        <v>37</v>
      </c>
      <c r="G185" s="9" t="s">
        <v>15</v>
      </c>
      <c r="H185" t="s">
        <v>27</v>
      </c>
      <c r="I185" s="7">
        <v>41</v>
      </c>
      <c r="J185" s="5">
        <v>22</v>
      </c>
      <c r="K185" s="5">
        <v>363</v>
      </c>
      <c r="L185" s="5">
        <v>3</v>
      </c>
      <c r="M185" s="5">
        <v>356</v>
      </c>
      <c r="N185" s="8">
        <v>4</v>
      </c>
      <c r="O185">
        <f t="shared" si="2"/>
        <v>19</v>
      </c>
    </row>
    <row r="186" spans="1:15" hidden="1">
      <c r="A186" s="4">
        <v>13</v>
      </c>
      <c r="B186" s="5" t="s">
        <v>19</v>
      </c>
      <c r="C186" s="6">
        <v>44535</v>
      </c>
      <c r="D186" s="5" t="s">
        <v>20</v>
      </c>
      <c r="E186" s="5" t="s">
        <v>15</v>
      </c>
      <c r="F186" t="s">
        <v>34</v>
      </c>
      <c r="G186" s="5" t="s">
        <v>17</v>
      </c>
      <c r="H186" t="s">
        <v>28</v>
      </c>
      <c r="I186" s="7">
        <v>29</v>
      </c>
      <c r="J186" s="5">
        <v>27</v>
      </c>
      <c r="K186" s="5">
        <v>372</v>
      </c>
      <c r="L186" s="5">
        <v>2</v>
      </c>
      <c r="M186" s="5">
        <v>426</v>
      </c>
      <c r="N186" s="8">
        <v>1</v>
      </c>
      <c r="O186">
        <f t="shared" si="2"/>
        <v>2</v>
      </c>
    </row>
    <row r="187" spans="1:15" hidden="1">
      <c r="A187" s="4">
        <v>13</v>
      </c>
      <c r="B187" s="5" t="s">
        <v>19</v>
      </c>
      <c r="C187" s="6">
        <v>44535</v>
      </c>
      <c r="D187" s="5" t="s">
        <v>20</v>
      </c>
      <c r="E187" s="5" t="s">
        <v>17</v>
      </c>
      <c r="F187" t="s">
        <v>21</v>
      </c>
      <c r="G187" s="9" t="s">
        <v>15</v>
      </c>
      <c r="H187" t="s">
        <v>26</v>
      </c>
      <c r="I187" s="7">
        <v>33</v>
      </c>
      <c r="J187" s="5">
        <v>18</v>
      </c>
      <c r="K187" s="5">
        <v>418</v>
      </c>
      <c r="L187" s="5">
        <v>0</v>
      </c>
      <c r="M187" s="5">
        <v>281</v>
      </c>
      <c r="N187" s="8">
        <v>1</v>
      </c>
      <c r="O187">
        <f t="shared" si="2"/>
        <v>15</v>
      </c>
    </row>
    <row r="188" spans="1:15" hidden="1">
      <c r="A188" s="4">
        <v>13</v>
      </c>
      <c r="B188" s="5" t="s">
        <v>19</v>
      </c>
      <c r="C188" s="6">
        <v>44535</v>
      </c>
      <c r="D188" s="5" t="s">
        <v>20</v>
      </c>
      <c r="E188" s="5" t="s">
        <v>17</v>
      </c>
      <c r="F188" t="s">
        <v>30</v>
      </c>
      <c r="G188" s="9" t="s">
        <v>15</v>
      </c>
      <c r="H188" t="s">
        <v>35</v>
      </c>
      <c r="I188" s="7">
        <v>31</v>
      </c>
      <c r="J188" s="5">
        <v>0</v>
      </c>
      <c r="K188" s="5">
        <v>389</v>
      </c>
      <c r="L188" s="5">
        <v>1</v>
      </c>
      <c r="M188" s="5">
        <v>141</v>
      </c>
      <c r="N188" s="8">
        <v>2</v>
      </c>
      <c r="O188">
        <f t="shared" si="2"/>
        <v>31</v>
      </c>
    </row>
    <row r="189" spans="1:15" hidden="1">
      <c r="A189" s="4">
        <v>13</v>
      </c>
      <c r="B189" s="5" t="s">
        <v>19</v>
      </c>
      <c r="C189" s="6">
        <v>44535</v>
      </c>
      <c r="D189" s="5" t="s">
        <v>20</v>
      </c>
      <c r="E189" s="5" t="s">
        <v>15</v>
      </c>
      <c r="F189" t="s">
        <v>46</v>
      </c>
      <c r="G189" s="5" t="s">
        <v>17</v>
      </c>
      <c r="H189" t="s">
        <v>43</v>
      </c>
      <c r="I189" s="7">
        <v>20</v>
      </c>
      <c r="J189" s="5">
        <v>9</v>
      </c>
      <c r="K189" s="5">
        <v>297</v>
      </c>
      <c r="L189" s="5">
        <v>0</v>
      </c>
      <c r="M189" s="5">
        <v>250</v>
      </c>
      <c r="N189" s="8">
        <v>1</v>
      </c>
      <c r="O189">
        <f t="shared" si="2"/>
        <v>11</v>
      </c>
    </row>
    <row r="190" spans="1:15" hidden="1">
      <c r="A190" s="4">
        <v>13</v>
      </c>
      <c r="B190" s="5" t="s">
        <v>19</v>
      </c>
      <c r="C190" s="6">
        <v>44535</v>
      </c>
      <c r="D190" s="5" t="s">
        <v>58</v>
      </c>
      <c r="E190" s="5" t="s">
        <v>15</v>
      </c>
      <c r="F190" t="s">
        <v>29</v>
      </c>
      <c r="G190" s="5" t="s">
        <v>17</v>
      </c>
      <c r="H190" t="s">
        <v>33</v>
      </c>
      <c r="I190" s="7">
        <v>30</v>
      </c>
      <c r="J190" s="5">
        <v>23</v>
      </c>
      <c r="K190" s="5">
        <v>327</v>
      </c>
      <c r="L190" s="5">
        <v>3</v>
      </c>
      <c r="M190" s="5">
        <v>365</v>
      </c>
      <c r="N190" s="8">
        <v>3</v>
      </c>
      <c r="O190">
        <f t="shared" si="2"/>
        <v>7</v>
      </c>
    </row>
    <row r="191" spans="1:15">
      <c r="A191" s="4">
        <v>13</v>
      </c>
      <c r="B191" s="5" t="s">
        <v>19</v>
      </c>
      <c r="C191" s="6">
        <v>44535</v>
      </c>
      <c r="D191" s="5" t="s">
        <v>54</v>
      </c>
      <c r="E191" s="5" t="s">
        <v>17</v>
      </c>
      <c r="F191" t="s">
        <v>38</v>
      </c>
      <c r="G191" s="9" t="s">
        <v>15</v>
      </c>
      <c r="H191" t="s">
        <v>52</v>
      </c>
      <c r="I191" s="7">
        <v>17</v>
      </c>
      <c r="J191" s="5">
        <v>15</v>
      </c>
      <c r="K191" s="5">
        <v>298</v>
      </c>
      <c r="L191" s="5">
        <v>1</v>
      </c>
      <c r="M191" s="5">
        <v>310</v>
      </c>
      <c r="N191" s="8">
        <v>0</v>
      </c>
      <c r="O191">
        <f t="shared" si="2"/>
        <v>2</v>
      </c>
    </row>
    <row r="192" spans="1:15" hidden="1">
      <c r="A192" s="4">
        <v>13</v>
      </c>
      <c r="B192" s="5" t="s">
        <v>19</v>
      </c>
      <c r="C192" s="6">
        <v>44535</v>
      </c>
      <c r="D192" s="5" t="s">
        <v>39</v>
      </c>
      <c r="E192" s="5" t="s">
        <v>15</v>
      </c>
      <c r="F192" t="s">
        <v>48</v>
      </c>
      <c r="G192" s="5" t="s">
        <v>17</v>
      </c>
      <c r="H192" t="s">
        <v>36</v>
      </c>
      <c r="I192" s="7">
        <v>37</v>
      </c>
      <c r="J192" s="5">
        <v>7</v>
      </c>
      <c r="K192" s="5">
        <v>418</v>
      </c>
      <c r="L192" s="5">
        <v>0</v>
      </c>
      <c r="M192" s="5">
        <v>197</v>
      </c>
      <c r="N192" s="8">
        <v>2</v>
      </c>
      <c r="O192">
        <f t="shared" si="2"/>
        <v>30</v>
      </c>
    </row>
    <row r="193" spans="1:15" hidden="1">
      <c r="A193" s="4">
        <v>13</v>
      </c>
      <c r="B193" s="5" t="s">
        <v>19</v>
      </c>
      <c r="C193" s="6">
        <v>44535</v>
      </c>
      <c r="D193" s="5" t="s">
        <v>39</v>
      </c>
      <c r="E193" s="5" t="s">
        <v>15</v>
      </c>
      <c r="F193" t="s">
        <v>23</v>
      </c>
      <c r="G193" s="5" t="s">
        <v>17</v>
      </c>
      <c r="H193" t="s">
        <v>53</v>
      </c>
      <c r="I193" s="7">
        <v>20</v>
      </c>
      <c r="J193" s="5">
        <v>19</v>
      </c>
      <c r="K193" s="5">
        <v>321</v>
      </c>
      <c r="L193" s="5">
        <v>0</v>
      </c>
      <c r="M193" s="5">
        <v>326</v>
      </c>
      <c r="N193" s="8">
        <v>1</v>
      </c>
      <c r="O193">
        <f t="shared" si="2"/>
        <v>1</v>
      </c>
    </row>
    <row r="194" spans="1:15" hidden="1">
      <c r="A194" s="4">
        <v>13</v>
      </c>
      <c r="B194" s="5" t="s">
        <v>19</v>
      </c>
      <c r="C194" s="6">
        <v>44535</v>
      </c>
      <c r="D194" s="5" t="s">
        <v>14</v>
      </c>
      <c r="E194" s="5" t="s">
        <v>15</v>
      </c>
      <c r="F194" t="s">
        <v>40</v>
      </c>
      <c r="G194" s="5" t="s">
        <v>17</v>
      </c>
      <c r="H194" t="s">
        <v>42</v>
      </c>
      <c r="I194" s="7">
        <v>22</v>
      </c>
      <c r="J194" s="5">
        <v>9</v>
      </c>
      <c r="K194" s="5">
        <v>267</v>
      </c>
      <c r="L194" s="5">
        <v>1</v>
      </c>
      <c r="M194" s="5">
        <v>404</v>
      </c>
      <c r="N194" s="8">
        <v>3</v>
      </c>
      <c r="O194">
        <f t="shared" si="2"/>
        <v>13</v>
      </c>
    </row>
    <row r="195" spans="1:15" hidden="1">
      <c r="A195" s="4">
        <v>13</v>
      </c>
      <c r="B195" s="5" t="s">
        <v>50</v>
      </c>
      <c r="C195" s="6">
        <v>44536</v>
      </c>
      <c r="D195" s="5" t="s">
        <v>51</v>
      </c>
      <c r="E195" s="5" t="s">
        <v>17</v>
      </c>
      <c r="F195" t="s">
        <v>47</v>
      </c>
      <c r="G195" s="9" t="s">
        <v>15</v>
      </c>
      <c r="H195" t="s">
        <v>24</v>
      </c>
      <c r="I195" s="7">
        <v>14</v>
      </c>
      <c r="J195" s="5">
        <v>10</v>
      </c>
      <c r="K195" s="5">
        <v>241</v>
      </c>
      <c r="L195" s="5">
        <v>1</v>
      </c>
      <c r="M195" s="5">
        <v>230</v>
      </c>
      <c r="N195" s="8">
        <v>1</v>
      </c>
      <c r="O195">
        <f t="shared" ref="O195:O258" si="3">I195-J195</f>
        <v>4</v>
      </c>
    </row>
    <row r="196" spans="1:15" hidden="1">
      <c r="A196" s="4">
        <v>14</v>
      </c>
      <c r="B196" s="5" t="s">
        <v>13</v>
      </c>
      <c r="C196" s="6">
        <v>44539</v>
      </c>
      <c r="D196" s="5" t="s">
        <v>14</v>
      </c>
      <c r="E196" s="5" t="s">
        <v>15</v>
      </c>
      <c r="F196" t="s">
        <v>28</v>
      </c>
      <c r="G196" s="5" t="s">
        <v>17</v>
      </c>
      <c r="H196" t="s">
        <v>23</v>
      </c>
      <c r="I196" s="7">
        <v>36</v>
      </c>
      <c r="J196" s="5">
        <v>28</v>
      </c>
      <c r="K196" s="5">
        <v>458</v>
      </c>
      <c r="L196" s="5">
        <v>2</v>
      </c>
      <c r="M196" s="5">
        <v>375</v>
      </c>
      <c r="N196" s="8">
        <v>1</v>
      </c>
      <c r="O196">
        <f t="shared" si="3"/>
        <v>8</v>
      </c>
    </row>
    <row r="197" spans="1:15" hidden="1">
      <c r="A197" s="4">
        <v>14</v>
      </c>
      <c r="B197" s="5" t="s">
        <v>19</v>
      </c>
      <c r="C197" s="6">
        <v>44542</v>
      </c>
      <c r="D197" s="5" t="s">
        <v>20</v>
      </c>
      <c r="E197" s="5" t="s">
        <v>17</v>
      </c>
      <c r="F197" t="s">
        <v>22</v>
      </c>
      <c r="G197" s="9" t="s">
        <v>15</v>
      </c>
      <c r="H197" t="s">
        <v>25</v>
      </c>
      <c r="I197" s="7">
        <v>29</v>
      </c>
      <c r="J197" s="5">
        <v>21</v>
      </c>
      <c r="K197" s="5">
        <v>318</v>
      </c>
      <c r="L197" s="5">
        <v>1</v>
      </c>
      <c r="M197" s="5">
        <v>334</v>
      </c>
      <c r="N197" s="8">
        <v>3</v>
      </c>
      <c r="O197">
        <f t="shared" si="3"/>
        <v>8</v>
      </c>
    </row>
    <row r="198" spans="1:15" hidden="1">
      <c r="A198" s="4">
        <v>14</v>
      </c>
      <c r="B198" s="5" t="s">
        <v>19</v>
      </c>
      <c r="C198" s="6">
        <v>44542</v>
      </c>
      <c r="D198" s="5" t="s">
        <v>20</v>
      </c>
      <c r="E198" s="5" t="s">
        <v>17</v>
      </c>
      <c r="F198" t="s">
        <v>33</v>
      </c>
      <c r="G198" s="9" t="s">
        <v>15</v>
      </c>
      <c r="H198" t="s">
        <v>27</v>
      </c>
      <c r="I198" s="7">
        <v>26</v>
      </c>
      <c r="J198" s="5">
        <v>23</v>
      </c>
      <c r="K198" s="5">
        <v>355</v>
      </c>
      <c r="L198" s="5">
        <v>0</v>
      </c>
      <c r="M198" s="5">
        <v>397</v>
      </c>
      <c r="N198" s="8">
        <v>2</v>
      </c>
      <c r="O198">
        <f t="shared" si="3"/>
        <v>3</v>
      </c>
    </row>
    <row r="199" spans="1:15" hidden="1">
      <c r="A199" s="4">
        <v>14</v>
      </c>
      <c r="B199" s="5" t="s">
        <v>19</v>
      </c>
      <c r="C199" s="6">
        <v>44542</v>
      </c>
      <c r="D199" s="5" t="s">
        <v>20</v>
      </c>
      <c r="E199" s="5" t="s">
        <v>15</v>
      </c>
      <c r="F199" t="s">
        <v>41</v>
      </c>
      <c r="G199" s="5" t="s">
        <v>17</v>
      </c>
      <c r="H199" t="s">
        <v>53</v>
      </c>
      <c r="I199" s="7">
        <v>24</v>
      </c>
      <c r="J199" s="5">
        <v>22</v>
      </c>
      <c r="K199" s="5">
        <v>290</v>
      </c>
      <c r="L199" s="5">
        <v>1</v>
      </c>
      <c r="M199" s="5">
        <v>389</v>
      </c>
      <c r="N199" s="8">
        <v>2</v>
      </c>
      <c r="O199">
        <f t="shared" si="3"/>
        <v>2</v>
      </c>
    </row>
    <row r="200" spans="1:15">
      <c r="A200" s="4">
        <v>14</v>
      </c>
      <c r="B200" s="5" t="s">
        <v>19</v>
      </c>
      <c r="C200" s="6">
        <v>44542</v>
      </c>
      <c r="D200" s="5" t="s">
        <v>20</v>
      </c>
      <c r="E200" s="5" t="s">
        <v>17</v>
      </c>
      <c r="F200" t="s">
        <v>18</v>
      </c>
      <c r="G200" s="9" t="s">
        <v>15</v>
      </c>
      <c r="H200" t="s">
        <v>38</v>
      </c>
      <c r="I200" s="7">
        <v>27</v>
      </c>
      <c r="J200" s="5">
        <v>20</v>
      </c>
      <c r="K200" s="5">
        <v>323</v>
      </c>
      <c r="L200" s="5">
        <v>2</v>
      </c>
      <c r="M200" s="5">
        <v>224</v>
      </c>
      <c r="N200" s="8">
        <v>4</v>
      </c>
      <c r="O200">
        <f t="shared" si="3"/>
        <v>7</v>
      </c>
    </row>
    <row r="201" spans="1:15">
      <c r="A201" s="4">
        <v>14</v>
      </c>
      <c r="B201" s="5" t="s">
        <v>19</v>
      </c>
      <c r="C201" s="6">
        <v>44542</v>
      </c>
      <c r="D201" s="5" t="s">
        <v>20</v>
      </c>
      <c r="E201" s="5" t="s">
        <v>17</v>
      </c>
      <c r="F201" t="s">
        <v>29</v>
      </c>
      <c r="G201" s="9" t="s">
        <v>15</v>
      </c>
      <c r="H201" t="s">
        <v>35</v>
      </c>
      <c r="I201" s="7">
        <v>33</v>
      </c>
      <c r="J201" s="5">
        <v>13</v>
      </c>
      <c r="K201" s="5">
        <v>453</v>
      </c>
      <c r="L201" s="5">
        <v>0</v>
      </c>
      <c r="M201" s="5">
        <v>380</v>
      </c>
      <c r="N201" s="8">
        <v>0</v>
      </c>
      <c r="O201">
        <f t="shared" si="3"/>
        <v>20</v>
      </c>
    </row>
    <row r="202" spans="1:15">
      <c r="A202" s="4">
        <v>14</v>
      </c>
      <c r="B202" s="5" t="s">
        <v>19</v>
      </c>
      <c r="C202" s="6">
        <v>44542</v>
      </c>
      <c r="D202" s="5" t="s">
        <v>20</v>
      </c>
      <c r="E202" s="5" t="s">
        <v>15</v>
      </c>
      <c r="F202" t="s">
        <v>32</v>
      </c>
      <c r="G202" s="5" t="s">
        <v>17</v>
      </c>
      <c r="H202" t="s">
        <v>36</v>
      </c>
      <c r="I202" s="7">
        <v>20</v>
      </c>
      <c r="J202" s="5">
        <v>0</v>
      </c>
      <c r="K202" s="5">
        <v>263</v>
      </c>
      <c r="L202" s="5">
        <v>0</v>
      </c>
      <c r="M202" s="5">
        <v>192</v>
      </c>
      <c r="N202" s="8">
        <v>4</v>
      </c>
      <c r="O202">
        <f t="shared" si="3"/>
        <v>20</v>
      </c>
    </row>
    <row r="203" spans="1:15">
      <c r="A203" s="4">
        <v>14</v>
      </c>
      <c r="B203" s="5" t="s">
        <v>19</v>
      </c>
      <c r="C203" s="6">
        <v>44542</v>
      </c>
      <c r="D203" s="5" t="s">
        <v>20</v>
      </c>
      <c r="E203" s="5" t="s">
        <v>15</v>
      </c>
      <c r="F203" t="s">
        <v>40</v>
      </c>
      <c r="G203" s="5" t="s">
        <v>17</v>
      </c>
      <c r="H203" t="s">
        <v>52</v>
      </c>
      <c r="I203" s="7">
        <v>48</v>
      </c>
      <c r="J203" s="5">
        <v>9</v>
      </c>
      <c r="K203" s="5">
        <v>372</v>
      </c>
      <c r="L203" s="5">
        <v>0</v>
      </c>
      <c r="M203" s="5">
        <v>290</v>
      </c>
      <c r="N203" s="8">
        <v>5</v>
      </c>
      <c r="O203">
        <f t="shared" si="3"/>
        <v>39</v>
      </c>
    </row>
    <row r="204" spans="1:15">
      <c r="A204" s="4">
        <v>14</v>
      </c>
      <c r="B204" s="5" t="s">
        <v>19</v>
      </c>
      <c r="C204" s="6">
        <v>44542</v>
      </c>
      <c r="D204" s="5" t="s">
        <v>20</v>
      </c>
      <c r="E204" s="5" t="s">
        <v>17</v>
      </c>
      <c r="F204" t="s">
        <v>44</v>
      </c>
      <c r="G204" s="9" t="s">
        <v>15</v>
      </c>
      <c r="H204" t="s">
        <v>26</v>
      </c>
      <c r="I204" s="7">
        <v>30</v>
      </c>
      <c r="J204" s="5">
        <v>9</v>
      </c>
      <c r="K204" s="5">
        <v>344</v>
      </c>
      <c r="L204" s="5">
        <v>0</v>
      </c>
      <c r="M204" s="5">
        <v>256</v>
      </c>
      <c r="N204" s="8">
        <v>0</v>
      </c>
      <c r="O204">
        <f t="shared" si="3"/>
        <v>21</v>
      </c>
    </row>
    <row r="205" spans="1:15" hidden="1">
      <c r="A205" s="4">
        <v>14</v>
      </c>
      <c r="B205" s="5" t="s">
        <v>19</v>
      </c>
      <c r="C205" s="6">
        <v>44542</v>
      </c>
      <c r="D205" s="5" t="s">
        <v>54</v>
      </c>
      <c r="E205" s="5" t="s">
        <v>15</v>
      </c>
      <c r="F205" t="s">
        <v>42</v>
      </c>
      <c r="G205" s="5" t="s">
        <v>17</v>
      </c>
      <c r="H205" t="s">
        <v>34</v>
      </c>
      <c r="I205" s="7">
        <v>38</v>
      </c>
      <c r="J205" s="5">
        <v>10</v>
      </c>
      <c r="K205" s="5">
        <v>358</v>
      </c>
      <c r="L205" s="5">
        <v>0</v>
      </c>
      <c r="M205" s="5">
        <v>316</v>
      </c>
      <c r="N205" s="8">
        <v>2</v>
      </c>
      <c r="O205">
        <f t="shared" si="3"/>
        <v>28</v>
      </c>
    </row>
    <row r="206" spans="1:15" hidden="1">
      <c r="A206" s="4">
        <v>14</v>
      </c>
      <c r="B206" s="5" t="s">
        <v>19</v>
      </c>
      <c r="C206" s="6">
        <v>44542</v>
      </c>
      <c r="D206" s="5" t="s">
        <v>54</v>
      </c>
      <c r="E206" s="5" t="s">
        <v>15</v>
      </c>
      <c r="F206" t="s">
        <v>37</v>
      </c>
      <c r="G206" s="5" t="s">
        <v>17</v>
      </c>
      <c r="H206" t="s">
        <v>43</v>
      </c>
      <c r="I206" s="7">
        <v>37</v>
      </c>
      <c r="J206" s="5">
        <v>21</v>
      </c>
      <c r="K206" s="5">
        <v>423</v>
      </c>
      <c r="L206" s="5">
        <v>0</v>
      </c>
      <c r="M206" s="5">
        <v>316</v>
      </c>
      <c r="N206" s="8">
        <v>2</v>
      </c>
      <c r="O206">
        <f t="shared" si="3"/>
        <v>16</v>
      </c>
    </row>
    <row r="207" spans="1:15" hidden="1">
      <c r="A207" s="4">
        <v>14</v>
      </c>
      <c r="B207" s="5" t="s">
        <v>19</v>
      </c>
      <c r="C207" s="6">
        <v>44542</v>
      </c>
      <c r="D207" s="5" t="s">
        <v>39</v>
      </c>
      <c r="E207" s="5" t="s">
        <v>15</v>
      </c>
      <c r="F207" t="s">
        <v>16</v>
      </c>
      <c r="G207" s="5" t="s">
        <v>17</v>
      </c>
      <c r="H207" t="s">
        <v>24</v>
      </c>
      <c r="I207" s="7">
        <v>33</v>
      </c>
      <c r="J207" s="5">
        <v>27</v>
      </c>
      <c r="K207" s="5">
        <v>488</v>
      </c>
      <c r="L207" s="5">
        <v>0</v>
      </c>
      <c r="M207" s="5">
        <v>466</v>
      </c>
      <c r="N207" s="8">
        <v>1</v>
      </c>
      <c r="O207">
        <f t="shared" si="3"/>
        <v>6</v>
      </c>
    </row>
    <row r="208" spans="1:15" hidden="1">
      <c r="A208" s="4">
        <v>14</v>
      </c>
      <c r="B208" s="5" t="s">
        <v>19</v>
      </c>
      <c r="C208" s="6">
        <v>44542</v>
      </c>
      <c r="D208" s="5" t="s">
        <v>14</v>
      </c>
      <c r="E208" s="5" t="s">
        <v>15</v>
      </c>
      <c r="F208" t="s">
        <v>45</v>
      </c>
      <c r="G208" s="5" t="s">
        <v>17</v>
      </c>
      <c r="H208" t="s">
        <v>49</v>
      </c>
      <c r="I208" s="7">
        <v>45</v>
      </c>
      <c r="J208" s="5">
        <v>30</v>
      </c>
      <c r="K208" s="5">
        <v>439</v>
      </c>
      <c r="L208" s="5">
        <v>0</v>
      </c>
      <c r="M208" s="5">
        <v>347</v>
      </c>
      <c r="N208" s="8">
        <v>3</v>
      </c>
      <c r="O208">
        <f t="shared" si="3"/>
        <v>15</v>
      </c>
    </row>
    <row r="209" spans="1:15" hidden="1">
      <c r="A209" s="4">
        <v>14</v>
      </c>
      <c r="B209" s="5" t="s">
        <v>50</v>
      </c>
      <c r="C209" s="6">
        <v>44543</v>
      </c>
      <c r="D209" s="5" t="s">
        <v>51</v>
      </c>
      <c r="E209" s="5" t="s">
        <v>17</v>
      </c>
      <c r="F209" t="s">
        <v>48</v>
      </c>
      <c r="G209" s="9" t="s">
        <v>15</v>
      </c>
      <c r="H209" t="s">
        <v>31</v>
      </c>
      <c r="I209" s="7">
        <v>30</v>
      </c>
      <c r="J209" s="5">
        <v>23</v>
      </c>
      <c r="K209" s="5">
        <v>356</v>
      </c>
      <c r="L209" s="5">
        <v>0</v>
      </c>
      <c r="M209" s="5">
        <v>447</v>
      </c>
      <c r="N209" s="8">
        <v>2</v>
      </c>
      <c r="O209">
        <f t="shared" si="3"/>
        <v>7</v>
      </c>
    </row>
    <row r="210" spans="1:15" hidden="1">
      <c r="A210" s="4">
        <v>15</v>
      </c>
      <c r="B210" s="5" t="s">
        <v>13</v>
      </c>
      <c r="C210" s="6">
        <v>44546</v>
      </c>
      <c r="D210" s="5" t="s">
        <v>14</v>
      </c>
      <c r="E210" s="5" t="s">
        <v>17</v>
      </c>
      <c r="F210" t="s">
        <v>40</v>
      </c>
      <c r="G210" s="9" t="s">
        <v>15</v>
      </c>
      <c r="H210" t="s">
        <v>37</v>
      </c>
      <c r="I210" s="7">
        <v>34</v>
      </c>
      <c r="J210" s="5">
        <v>28</v>
      </c>
      <c r="K210" s="5">
        <v>496</v>
      </c>
      <c r="L210" s="5">
        <v>2</v>
      </c>
      <c r="M210" s="5">
        <v>428</v>
      </c>
      <c r="N210" s="8">
        <v>2</v>
      </c>
      <c r="O210">
        <f t="shared" si="3"/>
        <v>6</v>
      </c>
    </row>
    <row r="211" spans="1:15" hidden="1">
      <c r="A211" s="4">
        <v>15</v>
      </c>
      <c r="B211" s="5" t="s">
        <v>59</v>
      </c>
      <c r="C211" s="6">
        <v>44548</v>
      </c>
      <c r="D211" s="5" t="s">
        <v>14</v>
      </c>
      <c r="E211" s="5" t="s">
        <v>15</v>
      </c>
      <c r="F211" t="s">
        <v>30</v>
      </c>
      <c r="G211" s="5" t="s">
        <v>17</v>
      </c>
      <c r="H211" t="s">
        <v>47</v>
      </c>
      <c r="I211" s="7">
        <v>27</v>
      </c>
      <c r="J211" s="5">
        <v>17</v>
      </c>
      <c r="K211" s="5">
        <v>275</v>
      </c>
      <c r="L211" s="5">
        <v>1</v>
      </c>
      <c r="M211" s="5">
        <v>365</v>
      </c>
      <c r="N211" s="8">
        <v>2</v>
      </c>
      <c r="O211">
        <f t="shared" si="3"/>
        <v>10</v>
      </c>
    </row>
    <row r="212" spans="1:15" hidden="1">
      <c r="A212" s="4">
        <v>15</v>
      </c>
      <c r="B212" s="5" t="s">
        <v>19</v>
      </c>
      <c r="C212" s="6">
        <v>44549</v>
      </c>
      <c r="D212" s="5" t="s">
        <v>20</v>
      </c>
      <c r="E212" s="5" t="s">
        <v>15</v>
      </c>
      <c r="F212" t="s">
        <v>24</v>
      </c>
      <c r="G212" s="5" t="s">
        <v>17</v>
      </c>
      <c r="H212" t="s">
        <v>25</v>
      </c>
      <c r="I212" s="7">
        <v>31</v>
      </c>
      <c r="J212" s="5">
        <v>14</v>
      </c>
      <c r="K212" s="5">
        <v>312</v>
      </c>
      <c r="L212" s="5">
        <v>1</v>
      </c>
      <c r="M212" s="5">
        <v>275</v>
      </c>
      <c r="N212" s="8">
        <v>1</v>
      </c>
      <c r="O212">
        <f t="shared" si="3"/>
        <v>17</v>
      </c>
    </row>
    <row r="213" spans="1:15" hidden="1">
      <c r="A213" s="4">
        <v>15</v>
      </c>
      <c r="B213" s="5" t="s">
        <v>19</v>
      </c>
      <c r="C213" s="6">
        <v>44549</v>
      </c>
      <c r="D213" s="5" t="s">
        <v>20</v>
      </c>
      <c r="E213" s="5" t="s">
        <v>15</v>
      </c>
      <c r="F213" t="s">
        <v>34</v>
      </c>
      <c r="G213" s="5" t="s">
        <v>17</v>
      </c>
      <c r="H213" t="s">
        <v>31</v>
      </c>
      <c r="I213" s="7">
        <v>30</v>
      </c>
      <c r="J213" s="5">
        <v>12</v>
      </c>
      <c r="K213" s="5">
        <v>338</v>
      </c>
      <c r="L213" s="5">
        <v>1</v>
      </c>
      <c r="M213" s="5">
        <v>398</v>
      </c>
      <c r="N213" s="8">
        <v>1</v>
      </c>
      <c r="O213">
        <f t="shared" si="3"/>
        <v>18</v>
      </c>
    </row>
    <row r="214" spans="1:15">
      <c r="A214" s="4">
        <v>15</v>
      </c>
      <c r="B214" s="5" t="s">
        <v>19</v>
      </c>
      <c r="C214" s="6">
        <v>44549</v>
      </c>
      <c r="D214" s="5" t="s">
        <v>20</v>
      </c>
      <c r="E214" s="5" t="s">
        <v>17</v>
      </c>
      <c r="F214" t="s">
        <v>18</v>
      </c>
      <c r="G214" s="9" t="s">
        <v>15</v>
      </c>
      <c r="H214" t="s">
        <v>43</v>
      </c>
      <c r="I214" s="7">
        <v>21</v>
      </c>
      <c r="J214" s="5">
        <v>6</v>
      </c>
      <c r="K214" s="5">
        <v>328</v>
      </c>
      <c r="L214" s="5">
        <v>1</v>
      </c>
      <c r="M214" s="5">
        <v>302</v>
      </c>
      <c r="N214" s="8">
        <v>4</v>
      </c>
      <c r="O214">
        <f t="shared" si="3"/>
        <v>15</v>
      </c>
    </row>
    <row r="215" spans="1:15">
      <c r="A215" s="4">
        <v>15</v>
      </c>
      <c r="B215" s="5" t="s">
        <v>19</v>
      </c>
      <c r="C215" s="6">
        <v>44549</v>
      </c>
      <c r="D215" s="5" t="s">
        <v>20</v>
      </c>
      <c r="E215" s="5" t="s">
        <v>17</v>
      </c>
      <c r="F215" t="s">
        <v>45</v>
      </c>
      <c r="G215" s="9" t="s">
        <v>15</v>
      </c>
      <c r="H215" t="s">
        <v>53</v>
      </c>
      <c r="I215" s="7">
        <v>31</v>
      </c>
      <c r="J215" s="5">
        <v>30</v>
      </c>
      <c r="K215" s="5">
        <v>346</v>
      </c>
      <c r="L215" s="5">
        <v>0</v>
      </c>
      <c r="M215" s="5">
        <v>354</v>
      </c>
      <c r="N215" s="8">
        <v>0</v>
      </c>
      <c r="O215">
        <f t="shared" si="3"/>
        <v>1</v>
      </c>
    </row>
    <row r="216" spans="1:15">
      <c r="A216" s="4">
        <v>15</v>
      </c>
      <c r="B216" s="5" t="s">
        <v>19</v>
      </c>
      <c r="C216" s="6">
        <v>44549</v>
      </c>
      <c r="D216" s="5" t="s">
        <v>20</v>
      </c>
      <c r="E216" s="5" t="s">
        <v>17</v>
      </c>
      <c r="F216" t="s">
        <v>35</v>
      </c>
      <c r="G216" s="9" t="s">
        <v>15</v>
      </c>
      <c r="H216" t="s">
        <v>36</v>
      </c>
      <c r="I216" s="7">
        <v>30</v>
      </c>
      <c r="J216" s="5">
        <v>16</v>
      </c>
      <c r="K216" s="5">
        <v>281</v>
      </c>
      <c r="L216" s="5">
        <v>1</v>
      </c>
      <c r="M216" s="5">
        <v>296</v>
      </c>
      <c r="N216" s="8">
        <v>0</v>
      </c>
      <c r="O216">
        <f t="shared" si="3"/>
        <v>14</v>
      </c>
    </row>
    <row r="217" spans="1:15" hidden="1">
      <c r="A217" s="4">
        <v>15</v>
      </c>
      <c r="B217" s="5" t="s">
        <v>19</v>
      </c>
      <c r="C217" s="6">
        <v>44549</v>
      </c>
      <c r="D217" s="5" t="s">
        <v>20</v>
      </c>
      <c r="E217" s="5" t="s">
        <v>15</v>
      </c>
      <c r="F217" t="s">
        <v>46</v>
      </c>
      <c r="G217" s="5" t="s">
        <v>17</v>
      </c>
      <c r="H217" t="s">
        <v>26</v>
      </c>
      <c r="I217" s="7">
        <v>31</v>
      </c>
      <c r="J217" s="5">
        <v>24</v>
      </c>
      <c r="K217" s="5">
        <v>379</v>
      </c>
      <c r="L217" s="5">
        <v>3</v>
      </c>
      <c r="M217" s="5">
        <v>228</v>
      </c>
      <c r="N217" s="8">
        <v>1</v>
      </c>
      <c r="O217">
        <f t="shared" si="3"/>
        <v>7</v>
      </c>
    </row>
    <row r="218" spans="1:15">
      <c r="A218" s="4">
        <v>15</v>
      </c>
      <c r="B218" s="5" t="s">
        <v>19</v>
      </c>
      <c r="C218" s="6">
        <v>44549</v>
      </c>
      <c r="D218" s="5" t="s">
        <v>20</v>
      </c>
      <c r="E218" s="5" t="s">
        <v>15</v>
      </c>
      <c r="F218" t="s">
        <v>23</v>
      </c>
      <c r="G218" s="5" t="s">
        <v>17</v>
      </c>
      <c r="H218" t="s">
        <v>32</v>
      </c>
      <c r="I218" s="7">
        <v>19</v>
      </c>
      <c r="J218" s="5">
        <v>13</v>
      </c>
      <c r="K218" s="5">
        <v>168</v>
      </c>
      <c r="L218" s="5">
        <v>0</v>
      </c>
      <c r="M218" s="5">
        <v>318</v>
      </c>
      <c r="N218" s="8">
        <v>4</v>
      </c>
      <c r="O218">
        <f t="shared" si="3"/>
        <v>6</v>
      </c>
    </row>
    <row r="219" spans="1:15" hidden="1">
      <c r="A219" s="4">
        <v>15</v>
      </c>
      <c r="B219" s="5" t="s">
        <v>19</v>
      </c>
      <c r="C219" s="6">
        <v>44549</v>
      </c>
      <c r="D219" s="5" t="s">
        <v>54</v>
      </c>
      <c r="E219" s="5" t="s">
        <v>15</v>
      </c>
      <c r="F219" t="s">
        <v>33</v>
      </c>
      <c r="G219" s="5" t="s">
        <v>17</v>
      </c>
      <c r="H219" t="s">
        <v>22</v>
      </c>
      <c r="I219" s="7">
        <v>31</v>
      </c>
      <c r="J219" s="5">
        <v>13</v>
      </c>
      <c r="K219" s="5">
        <v>397</v>
      </c>
      <c r="L219" s="5">
        <v>1</v>
      </c>
      <c r="M219" s="5">
        <v>275</v>
      </c>
      <c r="N219" s="8">
        <v>1</v>
      </c>
      <c r="O219">
        <f t="shared" si="3"/>
        <v>18</v>
      </c>
    </row>
    <row r="220" spans="1:15" hidden="1">
      <c r="A220" s="4">
        <v>15</v>
      </c>
      <c r="B220" s="5" t="s">
        <v>19</v>
      </c>
      <c r="C220" s="6">
        <v>44549</v>
      </c>
      <c r="D220" s="5" t="s">
        <v>54</v>
      </c>
      <c r="E220" s="5" t="s">
        <v>17</v>
      </c>
      <c r="F220" t="s">
        <v>27</v>
      </c>
      <c r="G220" s="9" t="s">
        <v>15</v>
      </c>
      <c r="H220" t="s">
        <v>42</v>
      </c>
      <c r="I220" s="7">
        <v>15</v>
      </c>
      <c r="J220" s="5">
        <v>10</v>
      </c>
      <c r="K220" s="5">
        <v>249</v>
      </c>
      <c r="L220" s="5">
        <v>0</v>
      </c>
      <c r="M220" s="5">
        <v>292</v>
      </c>
      <c r="N220" s="8">
        <v>1</v>
      </c>
      <c r="O220">
        <f t="shared" si="3"/>
        <v>5</v>
      </c>
    </row>
    <row r="221" spans="1:15" hidden="1">
      <c r="A221" s="4">
        <v>15</v>
      </c>
      <c r="B221" s="5" t="s">
        <v>19</v>
      </c>
      <c r="C221" s="6">
        <v>44549</v>
      </c>
      <c r="D221" s="5" t="s">
        <v>14</v>
      </c>
      <c r="E221" s="5" t="s">
        <v>17</v>
      </c>
      <c r="F221" t="s">
        <v>44</v>
      </c>
      <c r="G221" s="9" t="s">
        <v>15</v>
      </c>
      <c r="H221" t="s">
        <v>16</v>
      </c>
      <c r="I221" s="7">
        <v>9</v>
      </c>
      <c r="J221" s="5">
        <v>0</v>
      </c>
      <c r="K221" s="5">
        <v>212</v>
      </c>
      <c r="L221" s="5">
        <v>0</v>
      </c>
      <c r="M221" s="5">
        <v>302</v>
      </c>
      <c r="N221" s="8">
        <v>2</v>
      </c>
      <c r="O221">
        <f t="shared" si="3"/>
        <v>9</v>
      </c>
    </row>
    <row r="222" spans="1:15">
      <c r="A222" s="4">
        <v>15</v>
      </c>
      <c r="B222" s="5" t="s">
        <v>50</v>
      </c>
      <c r="C222" s="6">
        <v>44550</v>
      </c>
      <c r="D222" s="5" t="s">
        <v>60</v>
      </c>
      <c r="E222" s="5" t="s">
        <v>17</v>
      </c>
      <c r="F222" t="s">
        <v>52</v>
      </c>
      <c r="G222" s="9" t="s">
        <v>15</v>
      </c>
      <c r="H222" t="s">
        <v>41</v>
      </c>
      <c r="I222" s="7">
        <v>16</v>
      </c>
      <c r="J222" s="5">
        <v>14</v>
      </c>
      <c r="K222" s="5">
        <v>328</v>
      </c>
      <c r="L222" s="5">
        <v>2</v>
      </c>
      <c r="M222" s="5">
        <v>236</v>
      </c>
      <c r="N222" s="8">
        <v>0</v>
      </c>
      <c r="O222">
        <f t="shared" si="3"/>
        <v>2</v>
      </c>
    </row>
    <row r="223" spans="1:15" hidden="1">
      <c r="A223" s="4">
        <v>15</v>
      </c>
      <c r="B223" s="5" t="s">
        <v>50</v>
      </c>
      <c r="C223" s="6">
        <v>44550</v>
      </c>
      <c r="D223" s="5" t="s">
        <v>51</v>
      </c>
      <c r="E223" s="5" t="s">
        <v>17</v>
      </c>
      <c r="F223" t="s">
        <v>28</v>
      </c>
      <c r="G223" s="9" t="s">
        <v>15</v>
      </c>
      <c r="H223" t="s">
        <v>49</v>
      </c>
      <c r="I223" s="7">
        <v>17</v>
      </c>
      <c r="J223" s="5">
        <v>9</v>
      </c>
      <c r="K223" s="5">
        <v>193</v>
      </c>
      <c r="L223" s="5">
        <v>1</v>
      </c>
      <c r="M223" s="5">
        <v>370</v>
      </c>
      <c r="N223" s="8">
        <v>3</v>
      </c>
      <c r="O223">
        <f t="shared" si="3"/>
        <v>8</v>
      </c>
    </row>
    <row r="224" spans="1:15">
      <c r="A224" s="4">
        <v>15</v>
      </c>
      <c r="B224" s="5" t="s">
        <v>61</v>
      </c>
      <c r="C224" s="6">
        <v>44551</v>
      </c>
      <c r="D224" s="5" t="s">
        <v>62</v>
      </c>
      <c r="E224" s="5" t="s">
        <v>15</v>
      </c>
      <c r="F224" t="s">
        <v>21</v>
      </c>
      <c r="G224" s="5" t="s">
        <v>17</v>
      </c>
      <c r="H224" t="s">
        <v>38</v>
      </c>
      <c r="I224" s="7">
        <v>27</v>
      </c>
      <c r="J224" s="5">
        <v>17</v>
      </c>
      <c r="K224" s="5">
        <v>519</v>
      </c>
      <c r="L224" s="5">
        <v>2</v>
      </c>
      <c r="M224" s="5">
        <v>237</v>
      </c>
      <c r="N224" s="8">
        <v>0</v>
      </c>
      <c r="O224">
        <f t="shared" si="3"/>
        <v>10</v>
      </c>
    </row>
    <row r="225" spans="1:15" hidden="1">
      <c r="A225" s="4">
        <v>15</v>
      </c>
      <c r="B225" s="5" t="s">
        <v>61</v>
      </c>
      <c r="C225" s="6">
        <v>44551</v>
      </c>
      <c r="D225" s="5" t="s">
        <v>62</v>
      </c>
      <c r="E225" s="5" t="s">
        <v>15</v>
      </c>
      <c r="F225" t="s">
        <v>48</v>
      </c>
      <c r="G225" s="5" t="s">
        <v>17</v>
      </c>
      <c r="H225" t="s">
        <v>29</v>
      </c>
      <c r="I225" s="7">
        <v>20</v>
      </c>
      <c r="J225" s="5">
        <v>10</v>
      </c>
      <c r="K225" s="5">
        <v>332</v>
      </c>
      <c r="L225" s="5">
        <v>1</v>
      </c>
      <c r="M225" s="5">
        <v>214</v>
      </c>
      <c r="N225" s="8">
        <v>1</v>
      </c>
      <c r="O225">
        <f t="shared" si="3"/>
        <v>10</v>
      </c>
    </row>
    <row r="226" spans="1:15" hidden="1">
      <c r="A226" s="4">
        <v>16</v>
      </c>
      <c r="B226" s="5" t="s">
        <v>13</v>
      </c>
      <c r="C226" s="6">
        <v>44553</v>
      </c>
      <c r="D226" s="5" t="s">
        <v>14</v>
      </c>
      <c r="E226" s="5" t="s">
        <v>15</v>
      </c>
      <c r="F226" t="s">
        <v>32</v>
      </c>
      <c r="G226" s="5" t="s">
        <v>17</v>
      </c>
      <c r="H226" t="s">
        <v>33</v>
      </c>
      <c r="I226" s="7">
        <v>20</v>
      </c>
      <c r="J226" s="5">
        <v>17</v>
      </c>
      <c r="K226" s="5">
        <v>278</v>
      </c>
      <c r="L226" s="5">
        <v>0</v>
      </c>
      <c r="M226" s="5">
        <v>389</v>
      </c>
      <c r="N226" s="8">
        <v>2</v>
      </c>
      <c r="O226">
        <f t="shared" si="3"/>
        <v>3</v>
      </c>
    </row>
    <row r="227" spans="1:15">
      <c r="A227" s="4">
        <v>16</v>
      </c>
      <c r="B227" s="5" t="s">
        <v>59</v>
      </c>
      <c r="C227" s="6">
        <v>44555</v>
      </c>
      <c r="D227" s="5" t="s">
        <v>57</v>
      </c>
      <c r="E227" s="5" t="s">
        <v>15</v>
      </c>
      <c r="F227" t="s">
        <v>45</v>
      </c>
      <c r="G227" s="5" t="s">
        <v>17</v>
      </c>
      <c r="H227" t="s">
        <v>41</v>
      </c>
      <c r="I227" s="7">
        <v>24</v>
      </c>
      <c r="J227" s="5">
        <v>22</v>
      </c>
      <c r="K227" s="5">
        <v>311</v>
      </c>
      <c r="L227" s="5">
        <v>0</v>
      </c>
      <c r="M227" s="5">
        <v>408</v>
      </c>
      <c r="N227" s="8">
        <v>4</v>
      </c>
      <c r="O227">
        <f t="shared" si="3"/>
        <v>2</v>
      </c>
    </row>
    <row r="228" spans="1:15">
      <c r="A228" s="4">
        <v>16</v>
      </c>
      <c r="B228" s="5" t="s">
        <v>59</v>
      </c>
      <c r="C228" s="6">
        <v>44555</v>
      </c>
      <c r="D228" s="5" t="s">
        <v>51</v>
      </c>
      <c r="E228" s="5" t="s">
        <v>17</v>
      </c>
      <c r="F228" t="s">
        <v>30</v>
      </c>
      <c r="G228" s="9" t="s">
        <v>15</v>
      </c>
      <c r="H228" t="s">
        <v>31</v>
      </c>
      <c r="I228" s="7">
        <v>22</v>
      </c>
      <c r="J228" s="5">
        <v>16</v>
      </c>
      <c r="K228" s="5">
        <v>346</v>
      </c>
      <c r="L228" s="5">
        <v>0</v>
      </c>
      <c r="M228" s="5">
        <v>378</v>
      </c>
      <c r="N228" s="8">
        <v>0</v>
      </c>
      <c r="O228">
        <f t="shared" si="3"/>
        <v>6</v>
      </c>
    </row>
    <row r="229" spans="1:15" hidden="1">
      <c r="A229" s="4">
        <v>16</v>
      </c>
      <c r="B229" s="5" t="s">
        <v>19</v>
      </c>
      <c r="C229" s="6">
        <v>44556</v>
      </c>
      <c r="D229" s="5" t="s">
        <v>20</v>
      </c>
      <c r="E229" s="5" t="s">
        <v>15</v>
      </c>
      <c r="F229" t="s">
        <v>22</v>
      </c>
      <c r="G229" s="5" t="s">
        <v>17</v>
      </c>
      <c r="H229" t="s">
        <v>34</v>
      </c>
      <c r="I229" s="7">
        <v>20</v>
      </c>
      <c r="J229" s="5">
        <v>16</v>
      </c>
      <c r="K229" s="5">
        <v>254</v>
      </c>
      <c r="L229" s="5">
        <v>1</v>
      </c>
      <c r="M229" s="5">
        <v>338</v>
      </c>
      <c r="N229" s="8">
        <v>1</v>
      </c>
      <c r="O229">
        <f t="shared" si="3"/>
        <v>4</v>
      </c>
    </row>
    <row r="230" spans="1:15" hidden="1">
      <c r="A230" s="4">
        <v>16</v>
      </c>
      <c r="B230" s="5" t="s">
        <v>19</v>
      </c>
      <c r="C230" s="6">
        <v>44556</v>
      </c>
      <c r="D230" s="5" t="s">
        <v>20</v>
      </c>
      <c r="E230" s="5" t="s">
        <v>17</v>
      </c>
      <c r="F230" t="s">
        <v>24</v>
      </c>
      <c r="G230" s="9" t="s">
        <v>15</v>
      </c>
      <c r="H230" t="s">
        <v>47</v>
      </c>
      <c r="I230" s="7">
        <v>33</v>
      </c>
      <c r="J230" s="5">
        <v>21</v>
      </c>
      <c r="K230" s="5">
        <v>428</v>
      </c>
      <c r="L230" s="5">
        <v>0</v>
      </c>
      <c r="M230" s="5">
        <v>288</v>
      </c>
      <c r="N230" s="8">
        <v>2</v>
      </c>
      <c r="O230">
        <f t="shared" si="3"/>
        <v>12</v>
      </c>
    </row>
    <row r="231" spans="1:15" hidden="1">
      <c r="A231" s="4">
        <v>16</v>
      </c>
      <c r="B231" s="5" t="s">
        <v>19</v>
      </c>
      <c r="C231" s="6">
        <v>44556</v>
      </c>
      <c r="D231" s="5" t="s">
        <v>20</v>
      </c>
      <c r="E231" s="5" t="s">
        <v>17</v>
      </c>
      <c r="F231" t="s">
        <v>16</v>
      </c>
      <c r="G231" s="9" t="s">
        <v>15</v>
      </c>
      <c r="H231" t="s">
        <v>25</v>
      </c>
      <c r="I231" s="7">
        <v>32</v>
      </c>
      <c r="J231" s="5">
        <v>6</v>
      </c>
      <c r="K231" s="5">
        <v>391</v>
      </c>
      <c r="L231" s="5">
        <v>0</v>
      </c>
      <c r="M231" s="5">
        <v>273</v>
      </c>
      <c r="N231" s="8">
        <v>1</v>
      </c>
      <c r="O231">
        <f t="shared" si="3"/>
        <v>26</v>
      </c>
    </row>
    <row r="232" spans="1:15" hidden="1">
      <c r="A232" s="4">
        <v>16</v>
      </c>
      <c r="B232" s="5" t="s">
        <v>19</v>
      </c>
      <c r="C232" s="6">
        <v>44556</v>
      </c>
      <c r="D232" s="5" t="s">
        <v>20</v>
      </c>
      <c r="E232" s="5" t="s">
        <v>15</v>
      </c>
      <c r="F232" t="s">
        <v>27</v>
      </c>
      <c r="G232" s="5" t="s">
        <v>17</v>
      </c>
      <c r="H232" t="s">
        <v>53</v>
      </c>
      <c r="I232" s="7">
        <v>41</v>
      </c>
      <c r="J232" s="5">
        <v>21</v>
      </c>
      <c r="K232" s="5">
        <v>575</v>
      </c>
      <c r="L232" s="5">
        <v>0</v>
      </c>
      <c r="M232" s="5">
        <v>334</v>
      </c>
      <c r="N232" s="8">
        <v>1</v>
      </c>
      <c r="O232">
        <f t="shared" si="3"/>
        <v>20</v>
      </c>
    </row>
    <row r="233" spans="1:15" hidden="1">
      <c r="A233" s="4">
        <v>16</v>
      </c>
      <c r="B233" s="5" t="s">
        <v>19</v>
      </c>
      <c r="C233" s="6">
        <v>44556</v>
      </c>
      <c r="D233" s="5" t="s">
        <v>20</v>
      </c>
      <c r="E233" s="5" t="s">
        <v>15</v>
      </c>
      <c r="F233" t="s">
        <v>35</v>
      </c>
      <c r="G233" s="5" t="s">
        <v>17</v>
      </c>
      <c r="H233" t="s">
        <v>37</v>
      </c>
      <c r="I233" s="7">
        <v>41</v>
      </c>
      <c r="J233" s="5">
        <v>29</v>
      </c>
      <c r="K233" s="5">
        <v>437</v>
      </c>
      <c r="L233" s="5">
        <v>0</v>
      </c>
      <c r="M233" s="5">
        <v>417</v>
      </c>
      <c r="N233" s="8">
        <v>3</v>
      </c>
      <c r="O233">
        <f t="shared" si="3"/>
        <v>12</v>
      </c>
    </row>
    <row r="234" spans="1:15" hidden="1">
      <c r="A234" s="4">
        <v>16</v>
      </c>
      <c r="B234" s="5" t="s">
        <v>19</v>
      </c>
      <c r="C234" s="6">
        <v>44556</v>
      </c>
      <c r="D234" s="5" t="s">
        <v>20</v>
      </c>
      <c r="E234" s="5" t="s">
        <v>15</v>
      </c>
      <c r="F234" t="s">
        <v>26</v>
      </c>
      <c r="G234" s="5" t="s">
        <v>17</v>
      </c>
      <c r="H234" t="s">
        <v>36</v>
      </c>
      <c r="I234" s="7">
        <v>26</v>
      </c>
      <c r="J234" s="5">
        <v>21</v>
      </c>
      <c r="K234" s="5">
        <v>373</v>
      </c>
      <c r="L234" s="5">
        <v>0</v>
      </c>
      <c r="M234" s="5">
        <v>384</v>
      </c>
      <c r="N234" s="8">
        <v>1</v>
      </c>
      <c r="O234">
        <f t="shared" si="3"/>
        <v>5</v>
      </c>
    </row>
    <row r="235" spans="1:15" hidden="1">
      <c r="A235" s="4">
        <v>16</v>
      </c>
      <c r="B235" s="5" t="s">
        <v>19</v>
      </c>
      <c r="C235" s="6">
        <v>44556</v>
      </c>
      <c r="D235" s="5" t="s">
        <v>20</v>
      </c>
      <c r="E235" s="5" t="s">
        <v>17</v>
      </c>
      <c r="F235" t="s">
        <v>48</v>
      </c>
      <c r="G235" s="9" t="s">
        <v>15</v>
      </c>
      <c r="H235" t="s">
        <v>28</v>
      </c>
      <c r="I235" s="7">
        <v>30</v>
      </c>
      <c r="J235" s="5">
        <v>23</v>
      </c>
      <c r="K235" s="5">
        <v>356</v>
      </c>
      <c r="L235" s="5">
        <v>3</v>
      </c>
      <c r="M235" s="5">
        <v>361</v>
      </c>
      <c r="N235" s="8">
        <v>1</v>
      </c>
      <c r="O235">
        <f t="shared" si="3"/>
        <v>7</v>
      </c>
    </row>
    <row r="236" spans="1:15" hidden="1">
      <c r="A236" s="4">
        <v>16</v>
      </c>
      <c r="B236" s="5" t="s">
        <v>19</v>
      </c>
      <c r="C236" s="6">
        <v>44556</v>
      </c>
      <c r="D236" s="5" t="s">
        <v>20</v>
      </c>
      <c r="E236" s="5" t="s">
        <v>15</v>
      </c>
      <c r="F236" t="s">
        <v>21</v>
      </c>
      <c r="G236" s="5" t="s">
        <v>17</v>
      </c>
      <c r="H236" t="s">
        <v>43</v>
      </c>
      <c r="I236" s="7">
        <v>34</v>
      </c>
      <c r="J236" s="5">
        <v>10</v>
      </c>
      <c r="K236" s="5">
        <v>324</v>
      </c>
      <c r="L236" s="5">
        <v>0</v>
      </c>
      <c r="M236" s="5">
        <v>192</v>
      </c>
      <c r="N236" s="8">
        <v>2</v>
      </c>
      <c r="O236">
        <f t="shared" si="3"/>
        <v>24</v>
      </c>
    </row>
    <row r="237" spans="1:15">
      <c r="A237" s="4">
        <v>16</v>
      </c>
      <c r="B237" s="5" t="s">
        <v>19</v>
      </c>
      <c r="C237" s="6">
        <v>44556</v>
      </c>
      <c r="D237" s="5" t="s">
        <v>54</v>
      </c>
      <c r="E237" s="5" t="s">
        <v>17</v>
      </c>
      <c r="F237" t="s">
        <v>49</v>
      </c>
      <c r="G237" s="9" t="s">
        <v>15</v>
      </c>
      <c r="H237" t="s">
        <v>29</v>
      </c>
      <c r="I237" s="7">
        <v>25</v>
      </c>
      <c r="J237" s="5">
        <v>24</v>
      </c>
      <c r="K237" s="5">
        <v>317</v>
      </c>
      <c r="L237" s="5">
        <v>0</v>
      </c>
      <c r="M237" s="5">
        <v>331</v>
      </c>
      <c r="N237" s="8">
        <v>0</v>
      </c>
      <c r="O237">
        <f t="shared" si="3"/>
        <v>1</v>
      </c>
    </row>
    <row r="238" spans="1:15">
      <c r="A238" s="4">
        <v>16</v>
      </c>
      <c r="B238" s="5" t="s">
        <v>19</v>
      </c>
      <c r="C238" s="6">
        <v>44556</v>
      </c>
      <c r="D238" s="5" t="s">
        <v>39</v>
      </c>
      <c r="E238" s="5" t="s">
        <v>15</v>
      </c>
      <c r="F238" t="s">
        <v>52</v>
      </c>
      <c r="G238" s="5" t="s">
        <v>17</v>
      </c>
      <c r="H238" t="s">
        <v>42</v>
      </c>
      <c r="I238" s="7">
        <v>17</v>
      </c>
      <c r="J238" s="5">
        <v>13</v>
      </c>
      <c r="K238" s="5">
        <v>342</v>
      </c>
      <c r="L238" s="5">
        <v>3</v>
      </c>
      <c r="M238" s="5">
        <v>158</v>
      </c>
      <c r="N238" s="8">
        <v>0</v>
      </c>
      <c r="O238">
        <f t="shared" si="3"/>
        <v>4</v>
      </c>
    </row>
    <row r="239" spans="1:15" hidden="1">
      <c r="A239" s="4">
        <v>16</v>
      </c>
      <c r="B239" s="5" t="s">
        <v>19</v>
      </c>
      <c r="C239" s="6">
        <v>44556</v>
      </c>
      <c r="D239" s="5" t="s">
        <v>39</v>
      </c>
      <c r="E239" s="5" t="s">
        <v>15</v>
      </c>
      <c r="F239" t="s">
        <v>40</v>
      </c>
      <c r="G239" s="5" t="s">
        <v>17</v>
      </c>
      <c r="H239" t="s">
        <v>23</v>
      </c>
      <c r="I239" s="7">
        <v>36</v>
      </c>
      <c r="J239" s="5">
        <v>10</v>
      </c>
      <c r="K239" s="5">
        <v>381</v>
      </c>
      <c r="L239" s="5">
        <v>0</v>
      </c>
      <c r="M239" s="5">
        <v>303</v>
      </c>
      <c r="N239" s="8">
        <v>3</v>
      </c>
      <c r="O239">
        <f t="shared" si="3"/>
        <v>26</v>
      </c>
    </row>
    <row r="240" spans="1:15" hidden="1">
      <c r="A240" s="4">
        <v>16</v>
      </c>
      <c r="B240" s="5" t="s">
        <v>19</v>
      </c>
      <c r="C240" s="6">
        <v>44556</v>
      </c>
      <c r="D240" s="5" t="s">
        <v>14</v>
      </c>
      <c r="E240" s="5" t="s">
        <v>15</v>
      </c>
      <c r="F240" t="s">
        <v>18</v>
      </c>
      <c r="G240" s="5" t="s">
        <v>17</v>
      </c>
      <c r="H240" t="s">
        <v>38</v>
      </c>
      <c r="I240" s="7">
        <v>56</v>
      </c>
      <c r="J240" s="5">
        <v>14</v>
      </c>
      <c r="K240" s="5">
        <v>497</v>
      </c>
      <c r="L240" s="5">
        <v>0</v>
      </c>
      <c r="M240" s="5">
        <v>257</v>
      </c>
      <c r="N240" s="8">
        <v>2</v>
      </c>
      <c r="O240">
        <f t="shared" si="3"/>
        <v>42</v>
      </c>
    </row>
    <row r="241" spans="1:15" hidden="1">
      <c r="A241" s="4">
        <v>16</v>
      </c>
      <c r="B241" s="5" t="s">
        <v>50</v>
      </c>
      <c r="C241" s="6">
        <v>44557</v>
      </c>
      <c r="D241" s="5" t="s">
        <v>51</v>
      </c>
      <c r="E241" s="5" t="s">
        <v>17</v>
      </c>
      <c r="F241" t="s">
        <v>46</v>
      </c>
      <c r="G241" s="9" t="s">
        <v>15</v>
      </c>
      <c r="H241" t="s">
        <v>44</v>
      </c>
      <c r="I241" s="7">
        <v>20</v>
      </c>
      <c r="J241" s="5">
        <v>3</v>
      </c>
      <c r="K241" s="5">
        <v>259</v>
      </c>
      <c r="L241" s="5">
        <v>1</v>
      </c>
      <c r="M241" s="5">
        <v>164</v>
      </c>
      <c r="N241" s="8">
        <v>2</v>
      </c>
      <c r="O241">
        <f t="shared" si="3"/>
        <v>17</v>
      </c>
    </row>
    <row r="242" spans="1:15" hidden="1">
      <c r="A242" s="4">
        <v>17</v>
      </c>
      <c r="B242" s="5" t="s">
        <v>19</v>
      </c>
      <c r="C242" s="6">
        <v>44563</v>
      </c>
      <c r="D242" s="5" t="s">
        <v>20</v>
      </c>
      <c r="E242" s="5" t="s">
        <v>15</v>
      </c>
      <c r="F242" t="s">
        <v>24</v>
      </c>
      <c r="G242" s="5" t="s">
        <v>17</v>
      </c>
      <c r="H242" t="s">
        <v>22</v>
      </c>
      <c r="I242" s="7">
        <v>29</v>
      </c>
      <c r="J242" s="5">
        <v>15</v>
      </c>
      <c r="K242" s="5">
        <v>351</v>
      </c>
      <c r="L242" s="5">
        <v>3</v>
      </c>
      <c r="M242" s="5">
        <v>265</v>
      </c>
      <c r="N242" s="8">
        <v>1</v>
      </c>
      <c r="O242">
        <f t="shared" si="3"/>
        <v>14</v>
      </c>
    </row>
    <row r="243" spans="1:15" hidden="1">
      <c r="A243" s="4">
        <v>17</v>
      </c>
      <c r="B243" s="5" t="s">
        <v>19</v>
      </c>
      <c r="C243" s="6">
        <v>44563</v>
      </c>
      <c r="D243" s="5" t="s">
        <v>20</v>
      </c>
      <c r="E243" s="5" t="s">
        <v>15</v>
      </c>
      <c r="F243" t="s">
        <v>44</v>
      </c>
      <c r="G243" s="5" t="s">
        <v>17</v>
      </c>
      <c r="H243" t="s">
        <v>25</v>
      </c>
      <c r="I243" s="7">
        <v>18</v>
      </c>
      <c r="J243" s="5">
        <v>10</v>
      </c>
      <c r="K243" s="5">
        <v>280</v>
      </c>
      <c r="L243" s="5">
        <v>0</v>
      </c>
      <c r="M243" s="5">
        <v>178</v>
      </c>
      <c r="N243" s="8">
        <v>2</v>
      </c>
      <c r="O243">
        <f t="shared" si="3"/>
        <v>8</v>
      </c>
    </row>
    <row r="244" spans="1:15">
      <c r="A244" s="4">
        <v>17</v>
      </c>
      <c r="B244" s="5" t="s">
        <v>19</v>
      </c>
      <c r="C244" s="6">
        <v>44563</v>
      </c>
      <c r="D244" s="5" t="s">
        <v>20</v>
      </c>
      <c r="E244" s="5" t="s">
        <v>15</v>
      </c>
      <c r="F244" t="s">
        <v>49</v>
      </c>
      <c r="G244" s="5" t="s">
        <v>17</v>
      </c>
      <c r="H244" t="s">
        <v>43</v>
      </c>
      <c r="I244" s="7">
        <v>29</v>
      </c>
      <c r="J244" s="5">
        <v>3</v>
      </c>
      <c r="K244" s="5">
        <v>249</v>
      </c>
      <c r="L244" s="5">
        <v>2</v>
      </c>
      <c r="M244" s="5">
        <v>155</v>
      </c>
      <c r="N244" s="8">
        <v>4</v>
      </c>
      <c r="O244">
        <f t="shared" si="3"/>
        <v>26</v>
      </c>
    </row>
    <row r="245" spans="1:15">
      <c r="A245" s="4">
        <v>17</v>
      </c>
      <c r="B245" s="5" t="s">
        <v>19</v>
      </c>
      <c r="C245" s="6">
        <v>44563</v>
      </c>
      <c r="D245" s="5" t="s">
        <v>20</v>
      </c>
      <c r="E245" s="5" t="s">
        <v>15</v>
      </c>
      <c r="F245" t="s">
        <v>27</v>
      </c>
      <c r="G245" s="5" t="s">
        <v>17</v>
      </c>
      <c r="H245" t="s">
        <v>40</v>
      </c>
      <c r="I245" s="7">
        <v>34</v>
      </c>
      <c r="J245" s="5">
        <v>31</v>
      </c>
      <c r="K245" s="5">
        <v>475</v>
      </c>
      <c r="L245" s="5">
        <v>0</v>
      </c>
      <c r="M245" s="5">
        <v>414</v>
      </c>
      <c r="N245" s="8">
        <v>0</v>
      </c>
      <c r="O245">
        <f t="shared" si="3"/>
        <v>3</v>
      </c>
    </row>
    <row r="246" spans="1:15">
      <c r="A246" s="4">
        <v>17</v>
      </c>
      <c r="B246" s="5" t="s">
        <v>19</v>
      </c>
      <c r="C246" s="6">
        <v>44563</v>
      </c>
      <c r="D246" s="5" t="s">
        <v>20</v>
      </c>
      <c r="E246" s="5" t="s">
        <v>17</v>
      </c>
      <c r="F246" t="s">
        <v>52</v>
      </c>
      <c r="G246" s="9" t="s">
        <v>15</v>
      </c>
      <c r="H246" t="s">
        <v>30</v>
      </c>
      <c r="I246" s="7">
        <v>23</v>
      </c>
      <c r="J246" s="5">
        <v>20</v>
      </c>
      <c r="K246" s="5">
        <v>326</v>
      </c>
      <c r="L246" s="5">
        <v>2</v>
      </c>
      <c r="M246" s="5">
        <v>262</v>
      </c>
      <c r="N246" s="8">
        <v>0</v>
      </c>
      <c r="O246">
        <f t="shared" si="3"/>
        <v>3</v>
      </c>
    </row>
    <row r="247" spans="1:15" hidden="1">
      <c r="A247" s="4">
        <v>17</v>
      </c>
      <c r="B247" s="5" t="s">
        <v>19</v>
      </c>
      <c r="C247" s="6">
        <v>44563</v>
      </c>
      <c r="D247" s="5" t="s">
        <v>20</v>
      </c>
      <c r="E247" s="5" t="s">
        <v>17</v>
      </c>
      <c r="F247" t="s">
        <v>31</v>
      </c>
      <c r="G247" s="9" t="s">
        <v>15</v>
      </c>
      <c r="H247" t="s">
        <v>18</v>
      </c>
      <c r="I247" s="7">
        <v>25</v>
      </c>
      <c r="J247" s="5">
        <v>22</v>
      </c>
      <c r="K247" s="5">
        <v>399</v>
      </c>
      <c r="L247" s="5">
        <v>0</v>
      </c>
      <c r="M247" s="5">
        <v>301</v>
      </c>
      <c r="N247" s="8">
        <v>1</v>
      </c>
      <c r="O247">
        <f t="shared" si="3"/>
        <v>3</v>
      </c>
    </row>
    <row r="248" spans="1:15" hidden="1">
      <c r="A248" s="4">
        <v>17</v>
      </c>
      <c r="B248" s="5" t="s">
        <v>19</v>
      </c>
      <c r="C248" s="6">
        <v>44563</v>
      </c>
      <c r="D248" s="5" t="s">
        <v>20</v>
      </c>
      <c r="E248" s="5" t="s">
        <v>15</v>
      </c>
      <c r="F248" t="s">
        <v>47</v>
      </c>
      <c r="G248" s="5" t="s">
        <v>17</v>
      </c>
      <c r="H248" t="s">
        <v>36</v>
      </c>
      <c r="I248" s="7">
        <v>50</v>
      </c>
      <c r="J248" s="5">
        <v>10</v>
      </c>
      <c r="K248" s="5">
        <v>471</v>
      </c>
      <c r="L248" s="5">
        <v>0</v>
      </c>
      <c r="M248" s="5">
        <v>253</v>
      </c>
      <c r="N248" s="8">
        <v>3</v>
      </c>
      <c r="O248">
        <f t="shared" si="3"/>
        <v>40</v>
      </c>
    </row>
    <row r="249" spans="1:15" hidden="1">
      <c r="A249" s="4">
        <v>17</v>
      </c>
      <c r="B249" s="5" t="s">
        <v>19</v>
      </c>
      <c r="C249" s="6">
        <v>44563</v>
      </c>
      <c r="D249" s="5" t="s">
        <v>20</v>
      </c>
      <c r="E249" s="5" t="s">
        <v>15</v>
      </c>
      <c r="F249" t="s">
        <v>32</v>
      </c>
      <c r="G249" s="5" t="s">
        <v>17</v>
      </c>
      <c r="H249" t="s">
        <v>46</v>
      </c>
      <c r="I249" s="7">
        <v>34</v>
      </c>
      <c r="J249" s="5">
        <v>3</v>
      </c>
      <c r="K249" s="5">
        <v>308</v>
      </c>
      <c r="L249" s="5">
        <v>0</v>
      </c>
      <c r="M249" s="5">
        <v>256</v>
      </c>
      <c r="N249" s="8">
        <v>2</v>
      </c>
      <c r="O249">
        <f t="shared" si="3"/>
        <v>31</v>
      </c>
    </row>
    <row r="250" spans="1:15" hidden="1">
      <c r="A250" s="4">
        <v>17</v>
      </c>
      <c r="B250" s="5" t="s">
        <v>19</v>
      </c>
      <c r="C250" s="6">
        <v>44563</v>
      </c>
      <c r="D250" s="5" t="s">
        <v>20</v>
      </c>
      <c r="E250" s="5" t="s">
        <v>17</v>
      </c>
      <c r="F250" t="s">
        <v>16</v>
      </c>
      <c r="G250" s="9" t="s">
        <v>15</v>
      </c>
      <c r="H250" t="s">
        <v>26</v>
      </c>
      <c r="I250" s="7">
        <v>28</v>
      </c>
      <c r="J250" s="5">
        <v>24</v>
      </c>
      <c r="K250" s="5">
        <v>467</v>
      </c>
      <c r="L250" s="5">
        <v>1</v>
      </c>
      <c r="M250" s="5">
        <v>374</v>
      </c>
      <c r="N250" s="8">
        <v>1</v>
      </c>
      <c r="O250">
        <f t="shared" si="3"/>
        <v>4</v>
      </c>
    </row>
    <row r="251" spans="1:15" hidden="1">
      <c r="A251" s="4">
        <v>17</v>
      </c>
      <c r="B251" s="5" t="s">
        <v>19</v>
      </c>
      <c r="C251" s="6">
        <v>44563</v>
      </c>
      <c r="D251" s="5" t="s">
        <v>20</v>
      </c>
      <c r="E251" s="5" t="s">
        <v>17</v>
      </c>
      <c r="F251" t="s">
        <v>21</v>
      </c>
      <c r="G251" s="9" t="s">
        <v>15</v>
      </c>
      <c r="H251" t="s">
        <v>38</v>
      </c>
      <c r="I251" s="7">
        <v>20</v>
      </c>
      <c r="J251" s="5">
        <v>16</v>
      </c>
      <c r="K251" s="5">
        <v>330</v>
      </c>
      <c r="L251" s="5">
        <v>0</v>
      </c>
      <c r="M251" s="5">
        <v>312</v>
      </c>
      <c r="N251" s="8">
        <v>1</v>
      </c>
      <c r="O251">
        <f t="shared" si="3"/>
        <v>4</v>
      </c>
    </row>
    <row r="252" spans="1:15" hidden="1">
      <c r="A252" s="4">
        <v>17</v>
      </c>
      <c r="B252" s="5" t="s">
        <v>19</v>
      </c>
      <c r="C252" s="6">
        <v>44563</v>
      </c>
      <c r="D252" s="5" t="s">
        <v>54</v>
      </c>
      <c r="E252" s="5" t="s">
        <v>15</v>
      </c>
      <c r="F252" t="s">
        <v>37</v>
      </c>
      <c r="G252" s="5" t="s">
        <v>17</v>
      </c>
      <c r="H252" t="s">
        <v>42</v>
      </c>
      <c r="I252" s="7">
        <v>34</v>
      </c>
      <c r="J252" s="5">
        <v>13</v>
      </c>
      <c r="K252" s="5">
        <v>341</v>
      </c>
      <c r="L252" s="5">
        <v>0</v>
      </c>
      <c r="M252" s="5">
        <v>319</v>
      </c>
      <c r="N252" s="8">
        <v>1</v>
      </c>
      <c r="O252">
        <f t="shared" si="3"/>
        <v>21</v>
      </c>
    </row>
    <row r="253" spans="1:15" hidden="1">
      <c r="A253" s="4">
        <v>17</v>
      </c>
      <c r="B253" s="5" t="s">
        <v>19</v>
      </c>
      <c r="C253" s="6">
        <v>44563</v>
      </c>
      <c r="D253" s="5" t="s">
        <v>54</v>
      </c>
      <c r="E253" s="5" t="s">
        <v>15</v>
      </c>
      <c r="F253" t="s">
        <v>33</v>
      </c>
      <c r="G253" s="5" t="s">
        <v>17</v>
      </c>
      <c r="H253" t="s">
        <v>35</v>
      </c>
      <c r="I253" s="7">
        <v>23</v>
      </c>
      <c r="J253" s="5">
        <v>7</v>
      </c>
      <c r="K253" s="5">
        <v>416</v>
      </c>
      <c r="L253" s="5">
        <v>1</v>
      </c>
      <c r="M253" s="5">
        <v>222</v>
      </c>
      <c r="N253" s="8">
        <v>1</v>
      </c>
      <c r="O253">
        <f t="shared" si="3"/>
        <v>16</v>
      </c>
    </row>
    <row r="254" spans="1:15" hidden="1">
      <c r="A254" s="4">
        <v>17</v>
      </c>
      <c r="B254" s="5" t="s">
        <v>19</v>
      </c>
      <c r="C254" s="6">
        <v>44563</v>
      </c>
      <c r="D254" s="5" t="s">
        <v>39</v>
      </c>
      <c r="E254" s="5" t="s">
        <v>15</v>
      </c>
      <c r="F254" t="s">
        <v>29</v>
      </c>
      <c r="G254" s="5" t="s">
        <v>17</v>
      </c>
      <c r="H254" t="s">
        <v>34</v>
      </c>
      <c r="I254" s="7">
        <v>51</v>
      </c>
      <c r="J254" s="5">
        <v>29</v>
      </c>
      <c r="K254" s="5">
        <v>497</v>
      </c>
      <c r="L254" s="5">
        <v>0</v>
      </c>
      <c r="M254" s="5">
        <v>357</v>
      </c>
      <c r="N254" s="8">
        <v>3</v>
      </c>
      <c r="O254">
        <f t="shared" si="3"/>
        <v>22</v>
      </c>
    </row>
    <row r="255" spans="1:15" hidden="1">
      <c r="A255" s="4">
        <v>17</v>
      </c>
      <c r="B255" s="5" t="s">
        <v>19</v>
      </c>
      <c r="C255" s="6">
        <v>44563</v>
      </c>
      <c r="D255" s="5" t="s">
        <v>39</v>
      </c>
      <c r="E255" s="5" t="s">
        <v>17</v>
      </c>
      <c r="F255" t="s">
        <v>48</v>
      </c>
      <c r="G255" s="9" t="s">
        <v>15</v>
      </c>
      <c r="H255" t="s">
        <v>53</v>
      </c>
      <c r="I255" s="7">
        <v>20</v>
      </c>
      <c r="J255" s="5">
        <v>19</v>
      </c>
      <c r="K255" s="5">
        <v>373</v>
      </c>
      <c r="L255" s="5">
        <v>3</v>
      </c>
      <c r="M255" s="5">
        <v>327</v>
      </c>
      <c r="N255" s="8">
        <v>2</v>
      </c>
      <c r="O255">
        <f t="shared" si="3"/>
        <v>1</v>
      </c>
    </row>
    <row r="256" spans="1:15">
      <c r="A256" s="4">
        <v>17</v>
      </c>
      <c r="B256" s="5" t="s">
        <v>19</v>
      </c>
      <c r="C256" s="6">
        <v>44563</v>
      </c>
      <c r="D256" s="5" t="s">
        <v>14</v>
      </c>
      <c r="E256" s="5" t="s">
        <v>15</v>
      </c>
      <c r="F256" t="s">
        <v>45</v>
      </c>
      <c r="G256" s="5" t="s">
        <v>17</v>
      </c>
      <c r="H256" t="s">
        <v>28</v>
      </c>
      <c r="I256" s="7">
        <v>37</v>
      </c>
      <c r="J256" s="5">
        <v>10</v>
      </c>
      <c r="K256" s="5">
        <v>481</v>
      </c>
      <c r="L256" s="5">
        <v>0</v>
      </c>
      <c r="M256" s="5">
        <v>206</v>
      </c>
      <c r="N256" s="8">
        <v>0</v>
      </c>
      <c r="O256">
        <f t="shared" si="3"/>
        <v>27</v>
      </c>
    </row>
    <row r="257" spans="1:15" hidden="1">
      <c r="A257" s="4">
        <v>17</v>
      </c>
      <c r="B257" s="5" t="s">
        <v>50</v>
      </c>
      <c r="C257" s="6">
        <v>44564</v>
      </c>
      <c r="D257" s="5" t="s">
        <v>51</v>
      </c>
      <c r="E257" s="5" t="s">
        <v>15</v>
      </c>
      <c r="F257" t="s">
        <v>23</v>
      </c>
      <c r="G257" s="5" t="s">
        <v>17</v>
      </c>
      <c r="H257" t="s">
        <v>41</v>
      </c>
      <c r="I257" s="7">
        <v>26</v>
      </c>
      <c r="J257" s="5">
        <v>14</v>
      </c>
      <c r="K257" s="5">
        <v>299</v>
      </c>
      <c r="L257" s="5">
        <v>1</v>
      </c>
      <c r="M257" s="5">
        <v>232</v>
      </c>
      <c r="N257" s="8">
        <v>2</v>
      </c>
      <c r="O257">
        <f t="shared" si="3"/>
        <v>12</v>
      </c>
    </row>
    <row r="258" spans="1:15" hidden="1">
      <c r="A258" s="4">
        <v>18</v>
      </c>
      <c r="B258" s="5" t="s">
        <v>59</v>
      </c>
      <c r="C258" s="6">
        <v>44569</v>
      </c>
      <c r="D258" s="5" t="s">
        <v>57</v>
      </c>
      <c r="E258" s="5" t="s">
        <v>17</v>
      </c>
      <c r="F258" t="s">
        <v>40</v>
      </c>
      <c r="G258" s="9" t="s">
        <v>15</v>
      </c>
      <c r="H258" t="s">
        <v>42</v>
      </c>
      <c r="I258" s="7">
        <v>28</v>
      </c>
      <c r="J258" s="5">
        <v>24</v>
      </c>
      <c r="K258" s="5">
        <v>390</v>
      </c>
      <c r="L258" s="5">
        <v>0</v>
      </c>
      <c r="M258" s="5">
        <v>364</v>
      </c>
      <c r="N258" s="8">
        <v>1</v>
      </c>
      <c r="O258">
        <f t="shared" si="3"/>
        <v>4</v>
      </c>
    </row>
    <row r="259" spans="1:15" hidden="1">
      <c r="A259" s="4">
        <v>18</v>
      </c>
      <c r="B259" s="5" t="s">
        <v>59</v>
      </c>
      <c r="C259" s="6">
        <v>44569</v>
      </c>
      <c r="D259" s="5" t="s">
        <v>51</v>
      </c>
      <c r="E259" s="5" t="s">
        <v>17</v>
      </c>
      <c r="F259" t="s">
        <v>18</v>
      </c>
      <c r="G259" s="9" t="s">
        <v>15</v>
      </c>
      <c r="H259" t="s">
        <v>21</v>
      </c>
      <c r="I259" s="7">
        <v>51</v>
      </c>
      <c r="J259" s="5">
        <v>26</v>
      </c>
      <c r="K259" s="5">
        <v>475</v>
      </c>
      <c r="L259" s="5">
        <v>0</v>
      </c>
      <c r="M259" s="5">
        <v>315</v>
      </c>
      <c r="N259" s="8">
        <v>1</v>
      </c>
      <c r="O259">
        <f t="shared" ref="O259:O286" si="4">I259-J259</f>
        <v>25</v>
      </c>
    </row>
    <row r="260" spans="1:15" hidden="1">
      <c r="A260" s="4">
        <v>18</v>
      </c>
      <c r="B260" s="5" t="s">
        <v>19</v>
      </c>
      <c r="C260" s="6">
        <v>44570</v>
      </c>
      <c r="D260" s="5" t="s">
        <v>20</v>
      </c>
      <c r="E260" s="5" t="s">
        <v>17</v>
      </c>
      <c r="F260" t="s">
        <v>44</v>
      </c>
      <c r="G260" s="9" t="s">
        <v>15</v>
      </c>
      <c r="H260" t="s">
        <v>22</v>
      </c>
      <c r="I260" s="7">
        <v>30</v>
      </c>
      <c r="J260" s="5">
        <v>20</v>
      </c>
      <c r="K260" s="5">
        <v>369</v>
      </c>
      <c r="L260" s="5">
        <v>0</v>
      </c>
      <c r="M260" s="5">
        <v>257</v>
      </c>
      <c r="N260" s="8">
        <v>3</v>
      </c>
      <c r="O260">
        <f t="shared" si="4"/>
        <v>10</v>
      </c>
    </row>
    <row r="261" spans="1:15">
      <c r="A261" s="4">
        <v>18</v>
      </c>
      <c r="B261" s="5" t="s">
        <v>19</v>
      </c>
      <c r="C261" s="6">
        <v>44570</v>
      </c>
      <c r="D261" s="5" t="s">
        <v>20</v>
      </c>
      <c r="E261" s="5" t="s">
        <v>15</v>
      </c>
      <c r="F261" t="s">
        <v>24</v>
      </c>
      <c r="G261" s="5" t="s">
        <v>17</v>
      </c>
      <c r="H261" t="s">
        <v>26</v>
      </c>
      <c r="I261" s="7">
        <v>27</v>
      </c>
      <c r="J261" s="5">
        <v>10</v>
      </c>
      <c r="K261" s="5">
        <v>424</v>
      </c>
      <c r="L261" s="5">
        <v>0</v>
      </c>
      <c r="M261" s="5">
        <v>53</v>
      </c>
      <c r="N261" s="8">
        <v>0</v>
      </c>
      <c r="O261">
        <f t="shared" si="4"/>
        <v>17</v>
      </c>
    </row>
    <row r="262" spans="1:15" hidden="1">
      <c r="A262" s="4">
        <v>18</v>
      </c>
      <c r="B262" s="5" t="s">
        <v>19</v>
      </c>
      <c r="C262" s="6">
        <v>44570</v>
      </c>
      <c r="D262" s="5" t="s">
        <v>20</v>
      </c>
      <c r="E262" s="5" t="s">
        <v>15</v>
      </c>
      <c r="F262" t="s">
        <v>16</v>
      </c>
      <c r="G262" s="5" t="s">
        <v>17</v>
      </c>
      <c r="H262" t="s">
        <v>25</v>
      </c>
      <c r="I262" s="7">
        <v>41</v>
      </c>
      <c r="J262" s="5">
        <v>17</v>
      </c>
      <c r="K262" s="5">
        <v>409</v>
      </c>
      <c r="L262" s="5">
        <v>0</v>
      </c>
      <c r="M262" s="5">
        <v>317</v>
      </c>
      <c r="N262" s="8">
        <v>2</v>
      </c>
      <c r="O262">
        <f t="shared" si="4"/>
        <v>24</v>
      </c>
    </row>
    <row r="263" spans="1:15" hidden="1">
      <c r="A263" s="4">
        <v>18</v>
      </c>
      <c r="B263" s="5" t="s">
        <v>19</v>
      </c>
      <c r="C263" s="6">
        <v>44570</v>
      </c>
      <c r="D263" s="5" t="s">
        <v>20</v>
      </c>
      <c r="E263" s="5" t="s">
        <v>15</v>
      </c>
      <c r="F263" t="s">
        <v>28</v>
      </c>
      <c r="G263" s="5" t="s">
        <v>17</v>
      </c>
      <c r="H263" t="s">
        <v>49</v>
      </c>
      <c r="I263" s="7">
        <v>31</v>
      </c>
      <c r="J263" s="5">
        <v>17</v>
      </c>
      <c r="K263" s="5">
        <v>331</v>
      </c>
      <c r="L263" s="5">
        <v>0</v>
      </c>
      <c r="M263" s="5">
        <v>356</v>
      </c>
      <c r="N263" s="8">
        <v>2</v>
      </c>
      <c r="O263">
        <f t="shared" si="4"/>
        <v>14</v>
      </c>
    </row>
    <row r="264" spans="1:15">
      <c r="A264" s="4">
        <v>18</v>
      </c>
      <c r="B264" s="5" t="s">
        <v>19</v>
      </c>
      <c r="C264" s="6">
        <v>44570</v>
      </c>
      <c r="D264" s="5" t="s">
        <v>20</v>
      </c>
      <c r="E264" s="5" t="s">
        <v>15</v>
      </c>
      <c r="F264" t="s">
        <v>41</v>
      </c>
      <c r="G264" s="5" t="s">
        <v>17</v>
      </c>
      <c r="H264" t="s">
        <v>27</v>
      </c>
      <c r="I264" s="7">
        <v>21</v>
      </c>
      <c r="J264" s="5">
        <v>16</v>
      </c>
      <c r="K264" s="5">
        <v>376</v>
      </c>
      <c r="L264" s="5">
        <v>2</v>
      </c>
      <c r="M264" s="5">
        <v>182</v>
      </c>
      <c r="N264" s="8">
        <v>0</v>
      </c>
      <c r="O264">
        <f t="shared" si="4"/>
        <v>5</v>
      </c>
    </row>
    <row r="265" spans="1:15" hidden="1">
      <c r="A265" s="4">
        <v>18</v>
      </c>
      <c r="B265" s="5" t="s">
        <v>19</v>
      </c>
      <c r="C265" s="6">
        <v>44570</v>
      </c>
      <c r="D265" s="5" t="s">
        <v>20</v>
      </c>
      <c r="E265" s="5" t="s">
        <v>15</v>
      </c>
      <c r="F265" t="s">
        <v>36</v>
      </c>
      <c r="G265" s="5" t="s">
        <v>17</v>
      </c>
      <c r="H265" t="s">
        <v>30</v>
      </c>
      <c r="I265" s="7">
        <v>26</v>
      </c>
      <c r="J265" s="5">
        <v>11</v>
      </c>
      <c r="K265" s="5">
        <v>318</v>
      </c>
      <c r="L265" s="5">
        <v>0</v>
      </c>
      <c r="M265" s="5">
        <v>233</v>
      </c>
      <c r="N265" s="8">
        <v>2</v>
      </c>
      <c r="O265">
        <f t="shared" si="4"/>
        <v>15</v>
      </c>
    </row>
    <row r="266" spans="1:15" hidden="1">
      <c r="A266" s="4">
        <v>18</v>
      </c>
      <c r="B266" s="5" t="s">
        <v>19</v>
      </c>
      <c r="C266" s="6">
        <v>44570</v>
      </c>
      <c r="D266" s="5" t="s">
        <v>20</v>
      </c>
      <c r="E266" s="5" t="s">
        <v>15</v>
      </c>
      <c r="F266" t="s">
        <v>34</v>
      </c>
      <c r="G266" s="5" t="s">
        <v>17</v>
      </c>
      <c r="H266" t="s">
        <v>45</v>
      </c>
      <c r="I266" s="7">
        <v>37</v>
      </c>
      <c r="J266" s="5">
        <v>30</v>
      </c>
      <c r="K266" s="5">
        <v>404</v>
      </c>
      <c r="L266" s="5">
        <v>0</v>
      </c>
      <c r="M266" s="5">
        <v>378</v>
      </c>
      <c r="N266" s="8">
        <v>3</v>
      </c>
      <c r="O266">
        <f t="shared" si="4"/>
        <v>7</v>
      </c>
    </row>
    <row r="267" spans="1:15">
      <c r="A267" s="4">
        <v>18</v>
      </c>
      <c r="B267" s="5" t="s">
        <v>19</v>
      </c>
      <c r="C267" s="6">
        <v>44570</v>
      </c>
      <c r="D267" s="5" t="s">
        <v>20</v>
      </c>
      <c r="E267" s="5" t="s">
        <v>17</v>
      </c>
      <c r="F267" t="s">
        <v>32</v>
      </c>
      <c r="G267" s="9" t="s">
        <v>15</v>
      </c>
      <c r="H267" t="s">
        <v>35</v>
      </c>
      <c r="I267" s="7">
        <v>28</v>
      </c>
      <c r="J267" s="5">
        <v>25</v>
      </c>
      <c r="K267" s="5">
        <v>405</v>
      </c>
      <c r="L267" s="5">
        <v>0</v>
      </c>
      <c r="M267" s="5">
        <v>353</v>
      </c>
      <c r="N267" s="8">
        <v>0</v>
      </c>
      <c r="O267">
        <f t="shared" si="4"/>
        <v>3</v>
      </c>
    </row>
    <row r="268" spans="1:15" hidden="1">
      <c r="A268" s="4">
        <v>18</v>
      </c>
      <c r="B268" s="5" t="s">
        <v>19</v>
      </c>
      <c r="C268" s="6">
        <v>44570</v>
      </c>
      <c r="D268" s="5" t="s">
        <v>20</v>
      </c>
      <c r="E268" s="5" t="s">
        <v>15</v>
      </c>
      <c r="F268" t="s">
        <v>46</v>
      </c>
      <c r="G268" s="5" t="s">
        <v>17</v>
      </c>
      <c r="H268" t="s">
        <v>47</v>
      </c>
      <c r="I268" s="7">
        <v>33</v>
      </c>
      <c r="J268" s="5">
        <v>24</v>
      </c>
      <c r="K268" s="5">
        <v>298</v>
      </c>
      <c r="L268" s="5">
        <v>0</v>
      </c>
      <c r="M268" s="5">
        <v>379</v>
      </c>
      <c r="N268" s="8">
        <v>3</v>
      </c>
      <c r="O268">
        <f t="shared" si="4"/>
        <v>9</v>
      </c>
    </row>
    <row r="269" spans="1:15" hidden="1">
      <c r="A269" s="4">
        <v>18</v>
      </c>
      <c r="B269" s="5" t="s">
        <v>19</v>
      </c>
      <c r="C269" s="6">
        <v>44570</v>
      </c>
      <c r="D269" s="5" t="s">
        <v>20</v>
      </c>
      <c r="E269" s="5" t="s">
        <v>17</v>
      </c>
      <c r="F269" t="s">
        <v>38</v>
      </c>
      <c r="G269" s="9" t="s">
        <v>15</v>
      </c>
      <c r="H269" t="s">
        <v>43</v>
      </c>
      <c r="I269" s="7">
        <v>22</v>
      </c>
      <c r="J269" s="5">
        <v>7</v>
      </c>
      <c r="K269" s="5">
        <v>325</v>
      </c>
      <c r="L269" s="5">
        <v>0</v>
      </c>
      <c r="M269" s="5">
        <v>177</v>
      </c>
      <c r="N269" s="8">
        <v>3</v>
      </c>
      <c r="O269">
        <f t="shared" si="4"/>
        <v>15</v>
      </c>
    </row>
    <row r="270" spans="1:15" hidden="1">
      <c r="A270" s="4">
        <v>18</v>
      </c>
      <c r="B270" s="5" t="s">
        <v>19</v>
      </c>
      <c r="C270" s="6">
        <v>44570</v>
      </c>
      <c r="D270" s="5" t="s">
        <v>20</v>
      </c>
      <c r="E270" s="5" t="s">
        <v>17</v>
      </c>
      <c r="F270" t="s">
        <v>23</v>
      </c>
      <c r="G270" s="9" t="s">
        <v>15</v>
      </c>
      <c r="H270" t="s">
        <v>53</v>
      </c>
      <c r="I270" s="7">
        <v>16</v>
      </c>
      <c r="J270" s="5">
        <v>13</v>
      </c>
      <c r="K270" s="5">
        <v>314</v>
      </c>
      <c r="L270" s="5">
        <v>1</v>
      </c>
      <c r="M270" s="5">
        <v>381</v>
      </c>
      <c r="N270" s="8">
        <v>3</v>
      </c>
      <c r="O270">
        <f t="shared" si="4"/>
        <v>3</v>
      </c>
    </row>
    <row r="271" spans="1:15" hidden="1">
      <c r="A271" s="4">
        <v>18</v>
      </c>
      <c r="B271" s="5" t="s">
        <v>19</v>
      </c>
      <c r="C271" s="6">
        <v>44570</v>
      </c>
      <c r="D271" s="5" t="s">
        <v>39</v>
      </c>
      <c r="E271" s="5" t="s">
        <v>17</v>
      </c>
      <c r="F271" t="s">
        <v>29</v>
      </c>
      <c r="G271" s="9" t="s">
        <v>15</v>
      </c>
      <c r="H271" t="s">
        <v>31</v>
      </c>
      <c r="I271" s="7">
        <v>38</v>
      </c>
      <c r="J271" s="5">
        <v>30</v>
      </c>
      <c r="K271" s="5">
        <v>431</v>
      </c>
      <c r="L271" s="5">
        <v>2</v>
      </c>
      <c r="M271" s="5">
        <v>305</v>
      </c>
      <c r="N271" s="8">
        <v>1</v>
      </c>
      <c r="O271">
        <f t="shared" si="4"/>
        <v>8</v>
      </c>
    </row>
    <row r="272" spans="1:15" hidden="1">
      <c r="A272" s="4">
        <v>18</v>
      </c>
      <c r="B272" s="5" t="s">
        <v>19</v>
      </c>
      <c r="C272" s="6">
        <v>44570</v>
      </c>
      <c r="D272" s="5" t="s">
        <v>39</v>
      </c>
      <c r="E272" s="5" t="s">
        <v>17</v>
      </c>
      <c r="F272" t="s">
        <v>33</v>
      </c>
      <c r="G272" s="9" t="s">
        <v>15</v>
      </c>
      <c r="H272" t="s">
        <v>48</v>
      </c>
      <c r="I272" s="7">
        <v>27</v>
      </c>
      <c r="J272" s="5">
        <v>24</v>
      </c>
      <c r="K272" s="5">
        <v>449</v>
      </c>
      <c r="L272" s="5">
        <v>2</v>
      </c>
      <c r="M272" s="5">
        <v>265</v>
      </c>
      <c r="N272" s="8">
        <v>2</v>
      </c>
      <c r="O272">
        <f t="shared" si="4"/>
        <v>3</v>
      </c>
    </row>
    <row r="273" spans="1:15" hidden="1">
      <c r="A273" s="4">
        <v>18</v>
      </c>
      <c r="B273" s="5" t="s">
        <v>19</v>
      </c>
      <c r="C273" s="6">
        <v>44570</v>
      </c>
      <c r="D273" s="5" t="s">
        <v>63</v>
      </c>
      <c r="E273" s="5" t="s">
        <v>15</v>
      </c>
      <c r="F273" t="s">
        <v>52</v>
      </c>
      <c r="G273" s="5" t="s">
        <v>17</v>
      </c>
      <c r="H273" t="s">
        <v>37</v>
      </c>
      <c r="I273" s="7">
        <v>35</v>
      </c>
      <c r="J273" s="5">
        <v>32</v>
      </c>
      <c r="K273" s="5">
        <v>346</v>
      </c>
      <c r="L273" s="5">
        <v>0</v>
      </c>
      <c r="M273" s="5">
        <v>440</v>
      </c>
      <c r="N273" s="8">
        <v>2</v>
      </c>
      <c r="O273">
        <f t="shared" si="4"/>
        <v>3</v>
      </c>
    </row>
    <row r="274" spans="1:15" hidden="1">
      <c r="A274" s="4" t="s">
        <v>64</v>
      </c>
      <c r="B274" s="5" t="s">
        <v>59</v>
      </c>
      <c r="C274" s="6">
        <v>44576</v>
      </c>
      <c r="D274" s="5" t="s">
        <v>57</v>
      </c>
      <c r="E274" s="5" t="s">
        <v>15</v>
      </c>
      <c r="F274" t="s">
        <v>27</v>
      </c>
      <c r="G274" s="5" t="s">
        <v>17</v>
      </c>
      <c r="H274" t="s">
        <v>52</v>
      </c>
      <c r="I274" s="7">
        <v>26</v>
      </c>
      <c r="J274" s="5">
        <v>19</v>
      </c>
      <c r="K274" s="5">
        <v>308</v>
      </c>
      <c r="L274" s="5">
        <v>0</v>
      </c>
      <c r="M274" s="5">
        <v>385</v>
      </c>
      <c r="N274" s="8">
        <v>2</v>
      </c>
      <c r="O274">
        <f t="shared" si="4"/>
        <v>7</v>
      </c>
    </row>
    <row r="275" spans="1:15" hidden="1">
      <c r="A275" s="4" t="s">
        <v>64</v>
      </c>
      <c r="B275" s="5" t="s">
        <v>59</v>
      </c>
      <c r="C275" s="6">
        <v>44576</v>
      </c>
      <c r="D275" s="5" t="s">
        <v>51</v>
      </c>
      <c r="E275" s="5" t="s">
        <v>15</v>
      </c>
      <c r="F275" t="s">
        <v>24</v>
      </c>
      <c r="G275" s="5" t="s">
        <v>17</v>
      </c>
      <c r="H275" t="s">
        <v>47</v>
      </c>
      <c r="I275" s="7">
        <v>47</v>
      </c>
      <c r="J275" s="5">
        <v>17</v>
      </c>
      <c r="K275" s="5">
        <v>482</v>
      </c>
      <c r="L275" s="5">
        <v>0</v>
      </c>
      <c r="M275" s="5">
        <v>305</v>
      </c>
      <c r="N275" s="8">
        <v>2</v>
      </c>
      <c r="O275">
        <f t="shared" si="4"/>
        <v>30</v>
      </c>
    </row>
    <row r="276" spans="1:15" hidden="1">
      <c r="A276" s="4" t="s">
        <v>64</v>
      </c>
      <c r="B276" s="5" t="s">
        <v>19</v>
      </c>
      <c r="C276" s="6">
        <v>44577</v>
      </c>
      <c r="D276" s="5" t="s">
        <v>20</v>
      </c>
      <c r="E276" s="5" t="s">
        <v>15</v>
      </c>
      <c r="F276" t="s">
        <v>16</v>
      </c>
      <c r="G276" s="5" t="s">
        <v>17</v>
      </c>
      <c r="H276" t="s">
        <v>21</v>
      </c>
      <c r="I276" s="7">
        <v>31</v>
      </c>
      <c r="J276" s="5">
        <v>15</v>
      </c>
      <c r="K276" s="5">
        <v>349</v>
      </c>
      <c r="L276" s="5">
        <v>0</v>
      </c>
      <c r="M276" s="5">
        <v>339</v>
      </c>
      <c r="N276" s="8">
        <v>3</v>
      </c>
      <c r="O276">
        <f t="shared" si="4"/>
        <v>16</v>
      </c>
    </row>
    <row r="277" spans="1:15" hidden="1">
      <c r="A277" s="4" t="s">
        <v>64</v>
      </c>
      <c r="B277" s="5" t="s">
        <v>19</v>
      </c>
      <c r="C277" s="6">
        <v>44577</v>
      </c>
      <c r="D277" s="5" t="s">
        <v>65</v>
      </c>
      <c r="E277" s="5" t="s">
        <v>17</v>
      </c>
      <c r="F277" t="s">
        <v>33</v>
      </c>
      <c r="G277" s="9" t="s">
        <v>15</v>
      </c>
      <c r="H277" t="s">
        <v>18</v>
      </c>
      <c r="I277" s="7">
        <v>23</v>
      </c>
      <c r="J277" s="5">
        <v>17</v>
      </c>
      <c r="K277" s="5">
        <v>341</v>
      </c>
      <c r="L277" s="5">
        <v>1</v>
      </c>
      <c r="M277" s="5">
        <v>307</v>
      </c>
      <c r="N277" s="8">
        <v>1</v>
      </c>
      <c r="O277">
        <f t="shared" si="4"/>
        <v>6</v>
      </c>
    </row>
    <row r="278" spans="1:15" hidden="1">
      <c r="A278" s="4" t="s">
        <v>64</v>
      </c>
      <c r="B278" s="5" t="s">
        <v>19</v>
      </c>
      <c r="C278" s="6">
        <v>44577</v>
      </c>
      <c r="D278" s="5" t="s">
        <v>51</v>
      </c>
      <c r="E278" s="5" t="s">
        <v>15</v>
      </c>
      <c r="F278" t="s">
        <v>40</v>
      </c>
      <c r="G278" s="5" t="s">
        <v>17</v>
      </c>
      <c r="H278" t="s">
        <v>23</v>
      </c>
      <c r="I278" s="7">
        <v>42</v>
      </c>
      <c r="J278" s="5">
        <v>21</v>
      </c>
      <c r="K278" s="5">
        <v>478</v>
      </c>
      <c r="L278" s="5">
        <v>2</v>
      </c>
      <c r="M278" s="5">
        <v>257</v>
      </c>
      <c r="N278" s="8">
        <v>1</v>
      </c>
      <c r="O278">
        <f t="shared" si="4"/>
        <v>21</v>
      </c>
    </row>
    <row r="279" spans="1:15" hidden="1">
      <c r="A279" s="4" t="s">
        <v>64</v>
      </c>
      <c r="B279" s="5" t="s">
        <v>50</v>
      </c>
      <c r="C279" s="6">
        <v>44578</v>
      </c>
      <c r="D279" s="5" t="s">
        <v>51</v>
      </c>
      <c r="E279" s="5" t="s">
        <v>15</v>
      </c>
      <c r="F279" t="s">
        <v>48</v>
      </c>
      <c r="G279" s="5" t="s">
        <v>17</v>
      </c>
      <c r="H279" t="s">
        <v>31</v>
      </c>
      <c r="I279" s="7">
        <v>34</v>
      </c>
      <c r="J279" s="5">
        <v>11</v>
      </c>
      <c r="K279" s="5">
        <v>375</v>
      </c>
      <c r="L279" s="5">
        <v>0</v>
      </c>
      <c r="M279" s="5">
        <v>183</v>
      </c>
      <c r="N279" s="8">
        <v>2</v>
      </c>
      <c r="O279">
        <f t="shared" si="4"/>
        <v>23</v>
      </c>
    </row>
    <row r="280" spans="1:15" hidden="1">
      <c r="A280" s="4" t="s">
        <v>66</v>
      </c>
      <c r="B280" s="5" t="s">
        <v>59</v>
      </c>
      <c r="C280" s="6">
        <v>44583</v>
      </c>
      <c r="D280" s="5" t="s">
        <v>57</v>
      </c>
      <c r="E280" s="5" t="s">
        <v>17</v>
      </c>
      <c r="F280" t="s">
        <v>27</v>
      </c>
      <c r="G280" s="9" t="s">
        <v>15</v>
      </c>
      <c r="H280" t="s">
        <v>32</v>
      </c>
      <c r="I280" s="7">
        <v>19</v>
      </c>
      <c r="J280" s="5">
        <v>16</v>
      </c>
      <c r="K280" s="5">
        <v>345</v>
      </c>
      <c r="L280" s="5">
        <v>1</v>
      </c>
      <c r="M280" s="5">
        <v>353</v>
      </c>
      <c r="N280" s="8">
        <v>3</v>
      </c>
      <c r="O280">
        <f t="shared" si="4"/>
        <v>3</v>
      </c>
    </row>
    <row r="281" spans="1:15" hidden="1">
      <c r="A281" s="4" t="s">
        <v>66</v>
      </c>
      <c r="B281" s="5" t="s">
        <v>59</v>
      </c>
      <c r="C281" s="6">
        <v>44583</v>
      </c>
      <c r="D281" s="5" t="s">
        <v>51</v>
      </c>
      <c r="E281" s="5" t="s">
        <v>17</v>
      </c>
      <c r="F281" t="s">
        <v>33</v>
      </c>
      <c r="G281" s="9" t="s">
        <v>15</v>
      </c>
      <c r="H281" t="s">
        <v>45</v>
      </c>
      <c r="I281" s="7">
        <v>13</v>
      </c>
      <c r="J281" s="5">
        <v>10</v>
      </c>
      <c r="K281" s="5">
        <v>212</v>
      </c>
      <c r="L281" s="5">
        <v>1</v>
      </c>
      <c r="M281" s="5">
        <v>263</v>
      </c>
      <c r="N281" s="8">
        <v>1</v>
      </c>
      <c r="O281">
        <f t="shared" si="4"/>
        <v>3</v>
      </c>
    </row>
    <row r="282" spans="1:15" hidden="1">
      <c r="A282" s="4" t="s">
        <v>66</v>
      </c>
      <c r="B282" s="5" t="s">
        <v>19</v>
      </c>
      <c r="C282" s="6">
        <v>44584</v>
      </c>
      <c r="D282" s="5" t="s">
        <v>67</v>
      </c>
      <c r="E282" s="5" t="s">
        <v>17</v>
      </c>
      <c r="F282" t="s">
        <v>48</v>
      </c>
      <c r="G282" s="9" t="s">
        <v>15</v>
      </c>
      <c r="H282" t="s">
        <v>16</v>
      </c>
      <c r="I282" s="7">
        <v>30</v>
      </c>
      <c r="J282" s="5">
        <v>27</v>
      </c>
      <c r="K282" s="5">
        <v>428</v>
      </c>
      <c r="L282" s="5">
        <v>4</v>
      </c>
      <c r="M282" s="5">
        <v>359</v>
      </c>
      <c r="N282" s="8">
        <v>2</v>
      </c>
      <c r="O282">
        <f t="shared" si="4"/>
        <v>3</v>
      </c>
    </row>
    <row r="283" spans="1:15">
      <c r="A283" s="4" t="s">
        <v>66</v>
      </c>
      <c r="B283" s="5" t="s">
        <v>19</v>
      </c>
      <c r="C283" s="6">
        <v>44584</v>
      </c>
      <c r="D283" s="5" t="s">
        <v>68</v>
      </c>
      <c r="E283" s="5" t="s">
        <v>15</v>
      </c>
      <c r="F283" t="s">
        <v>40</v>
      </c>
      <c r="G283" s="5" t="s">
        <v>17</v>
      </c>
      <c r="H283" t="s">
        <v>24</v>
      </c>
      <c r="I283" s="7">
        <v>42</v>
      </c>
      <c r="J283" s="5">
        <v>36</v>
      </c>
      <c r="K283" s="5">
        <v>552</v>
      </c>
      <c r="L283" s="5">
        <v>0</v>
      </c>
      <c r="M283" s="5">
        <v>422</v>
      </c>
      <c r="N283" s="8">
        <v>0</v>
      </c>
      <c r="O283">
        <f t="shared" si="4"/>
        <v>6</v>
      </c>
    </row>
    <row r="284" spans="1:15" hidden="1">
      <c r="A284" s="4" t="s">
        <v>69</v>
      </c>
      <c r="B284" s="5" t="s">
        <v>19</v>
      </c>
      <c r="C284" s="6">
        <v>44591</v>
      </c>
      <c r="D284" s="5" t="s">
        <v>67</v>
      </c>
      <c r="E284" s="5" t="s">
        <v>17</v>
      </c>
      <c r="F284" t="s">
        <v>27</v>
      </c>
      <c r="G284" s="9" t="s">
        <v>15</v>
      </c>
      <c r="H284" t="s">
        <v>40</v>
      </c>
      <c r="I284" s="7">
        <v>27</v>
      </c>
      <c r="J284" s="5">
        <v>24</v>
      </c>
      <c r="K284" s="5">
        <v>359</v>
      </c>
      <c r="L284" s="5">
        <v>1</v>
      </c>
      <c r="M284" s="5">
        <v>375</v>
      </c>
      <c r="N284" s="8">
        <v>2</v>
      </c>
      <c r="O284">
        <f t="shared" si="4"/>
        <v>3</v>
      </c>
    </row>
    <row r="285" spans="1:15" hidden="1">
      <c r="A285" s="4" t="s">
        <v>69</v>
      </c>
      <c r="B285" s="5" t="s">
        <v>19</v>
      </c>
      <c r="C285" s="6">
        <v>44591</v>
      </c>
      <c r="D285" s="5" t="s">
        <v>68</v>
      </c>
      <c r="E285" s="5" t="s">
        <v>15</v>
      </c>
      <c r="F285" t="s">
        <v>48</v>
      </c>
      <c r="G285" s="5" t="s">
        <v>17</v>
      </c>
      <c r="H285" t="s">
        <v>33</v>
      </c>
      <c r="I285" s="7">
        <v>20</v>
      </c>
      <c r="J285" s="5">
        <v>17</v>
      </c>
      <c r="K285" s="5">
        <v>396</v>
      </c>
      <c r="L285" s="5">
        <v>1</v>
      </c>
      <c r="M285" s="5">
        <v>282</v>
      </c>
      <c r="N285" s="8">
        <v>1</v>
      </c>
      <c r="O285">
        <f t="shared" si="4"/>
        <v>3</v>
      </c>
    </row>
    <row r="286" spans="1:15">
      <c r="A286" s="10" t="s">
        <v>70</v>
      </c>
      <c r="B286" s="11" t="s">
        <v>19</v>
      </c>
      <c r="C286" s="12">
        <v>44605</v>
      </c>
      <c r="D286" s="11" t="s">
        <v>68</v>
      </c>
      <c r="E286" s="11" t="s">
        <v>15</v>
      </c>
      <c r="F286" t="s">
        <v>48</v>
      </c>
      <c r="G286" s="11" t="s">
        <v>17</v>
      </c>
      <c r="H286" t="s">
        <v>27</v>
      </c>
      <c r="I286" s="13">
        <v>23</v>
      </c>
      <c r="J286" s="11">
        <v>20</v>
      </c>
      <c r="K286" s="11">
        <v>313</v>
      </c>
      <c r="L286" s="11">
        <v>2</v>
      </c>
      <c r="M286" s="11">
        <v>305</v>
      </c>
      <c r="N286" s="14">
        <v>0</v>
      </c>
      <c r="O286">
        <f t="shared" si="4"/>
        <v>3</v>
      </c>
    </row>
  </sheetData>
  <autoFilter ref="A1:N286" xr:uid="{00000000-0001-0000-0000-000000000000}">
    <filterColumn colId="13">
      <filters>
        <filter val="0"/>
        <filter val="4"/>
        <filter val="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38BB-80DD-426C-A26F-EFB92CD6B33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D70B-08CE-4B80-BBDA-347D8A4790FE}">
  <dimension ref="A1:BS36"/>
  <sheetViews>
    <sheetView workbookViewId="0">
      <pane xSplit="5" ySplit="1" topLeftCell="F13" activePane="bottomRight" state="frozen"/>
      <selection pane="bottomRight" activeCell="B13" sqref="B13"/>
      <selection pane="bottomLeft"/>
      <selection pane="topRight"/>
    </sheetView>
  </sheetViews>
  <sheetFormatPr defaultRowHeight="15"/>
  <cols>
    <col min="1" max="1" width="25" bestFit="1" customWidth="1"/>
    <col min="2" max="3" width="25" customWidth="1"/>
    <col min="4" max="4" width="11.42578125" bestFit="1" customWidth="1"/>
    <col min="5" max="5" width="10.42578125" bestFit="1" customWidth="1"/>
    <col min="6" max="6" width="18.5703125" bestFit="1" customWidth="1"/>
    <col min="7" max="7" width="21.5703125" bestFit="1" customWidth="1"/>
    <col min="8" max="8" width="18.28515625" bestFit="1" customWidth="1"/>
    <col min="9" max="9" width="19" bestFit="1" customWidth="1"/>
    <col min="10" max="10" width="18.5703125" bestFit="1" customWidth="1"/>
    <col min="11" max="11" width="16.5703125" bestFit="1" customWidth="1"/>
    <col min="12" max="13" width="18.5703125" bestFit="1" customWidth="1"/>
    <col min="14" max="14" width="19.42578125" bestFit="1" customWidth="1"/>
    <col min="15" max="15" width="22.28515625" bestFit="1" customWidth="1"/>
    <col min="16" max="16" width="18.5703125" bestFit="1" customWidth="1"/>
    <col min="17" max="17" width="25.42578125" bestFit="1" customWidth="1"/>
    <col min="18" max="18" width="16.85546875" bestFit="1" customWidth="1"/>
    <col min="19" max="19" width="18.85546875" bestFit="1" customWidth="1"/>
    <col min="20" max="20" width="16.85546875" bestFit="1" customWidth="1"/>
    <col min="21" max="21" width="21.85546875" bestFit="1" customWidth="1"/>
    <col min="22" max="22" width="22" bestFit="1" customWidth="1"/>
    <col min="23" max="23" width="19.85546875" bestFit="1" customWidth="1"/>
    <col min="24" max="24" width="21.5703125" bestFit="1" customWidth="1"/>
    <col min="25" max="25" width="18.5703125" bestFit="1" customWidth="1"/>
    <col min="26" max="26" width="23.140625" bestFit="1" customWidth="1"/>
    <col min="27" max="27" width="23.85546875" bestFit="1" customWidth="1"/>
    <col min="28" max="28" width="20.42578125" bestFit="1" customWidth="1"/>
    <col min="29" max="29" width="26.7109375" bestFit="1" customWidth="1"/>
    <col min="30" max="30" width="20.7109375" bestFit="1" customWidth="1"/>
    <col min="31" max="31" width="21.85546875" bestFit="1" customWidth="1"/>
    <col min="32" max="32" width="23.7109375" bestFit="1" customWidth="1"/>
    <col min="33" max="33" width="26" bestFit="1" customWidth="1"/>
    <col min="34" max="34" width="27" bestFit="1" customWidth="1"/>
    <col min="35" max="35" width="25.85546875" bestFit="1" customWidth="1"/>
    <col min="36" max="37" width="17.85546875" bestFit="1" customWidth="1"/>
    <col min="38" max="38" width="14.85546875" bestFit="1" customWidth="1"/>
    <col min="39" max="39" width="25" bestFit="1" customWidth="1"/>
    <col min="40" max="40" width="18.5703125" bestFit="1" customWidth="1"/>
    <col min="41" max="41" width="21.5703125" bestFit="1" customWidth="1"/>
    <col min="42" max="42" width="17.85546875" bestFit="1" customWidth="1"/>
    <col min="43" max="43" width="16.5703125" bestFit="1" customWidth="1"/>
    <col min="44" max="44" width="20.85546875" bestFit="1" customWidth="1"/>
    <col min="45" max="45" width="31.140625" bestFit="1" customWidth="1"/>
    <col min="46" max="46" width="25.5703125" bestFit="1" customWidth="1"/>
    <col min="47" max="47" width="21.42578125" bestFit="1" customWidth="1"/>
    <col min="48" max="48" width="31.85546875" bestFit="1" customWidth="1"/>
    <col min="49" max="49" width="22.140625" bestFit="1" customWidth="1"/>
    <col min="50" max="50" width="22.42578125" bestFit="1" customWidth="1"/>
    <col min="51" max="51" width="22.85546875" bestFit="1" customWidth="1"/>
    <col min="52" max="52" width="20.140625" bestFit="1" customWidth="1"/>
    <col min="53" max="53" width="19.42578125" bestFit="1" customWidth="1"/>
  </cols>
  <sheetData>
    <row r="1" spans="1:71">
      <c r="A1" s="2" t="s">
        <v>71</v>
      </c>
      <c r="B1" s="2" t="s">
        <v>72</v>
      </c>
      <c r="C1" s="2" t="s">
        <v>73</v>
      </c>
      <c r="D1" s="2" t="s">
        <v>74</v>
      </c>
      <c r="E1" s="2" t="s">
        <v>66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  <c r="AE1" s="2" t="s">
        <v>100</v>
      </c>
      <c r="AF1" s="2" t="s">
        <v>101</v>
      </c>
      <c r="AG1" s="2" t="s">
        <v>102</v>
      </c>
      <c r="AH1" s="2" t="s">
        <v>103</v>
      </c>
      <c r="AI1" s="2" t="s">
        <v>104</v>
      </c>
      <c r="AJ1" s="2" t="s">
        <v>105</v>
      </c>
      <c r="AK1" s="2" t="s">
        <v>106</v>
      </c>
      <c r="AL1" s="2" t="s">
        <v>107</v>
      </c>
      <c r="AM1" s="2" t="s">
        <v>108</v>
      </c>
      <c r="AN1" s="2" t="s">
        <v>109</v>
      </c>
      <c r="AO1" s="2" t="s">
        <v>110</v>
      </c>
      <c r="AP1" s="2" t="s">
        <v>111</v>
      </c>
      <c r="AQ1" s="2" t="s">
        <v>112</v>
      </c>
      <c r="AR1" s="2" t="s">
        <v>113</v>
      </c>
      <c r="AS1" s="2" t="s">
        <v>114</v>
      </c>
      <c r="AT1" s="2" t="s">
        <v>115</v>
      </c>
      <c r="AU1" s="2" t="s">
        <v>116</v>
      </c>
      <c r="AV1" s="2" t="s">
        <v>117</v>
      </c>
      <c r="AW1" s="2" t="s">
        <v>118</v>
      </c>
      <c r="AX1" s="2" t="s">
        <v>119</v>
      </c>
      <c r="AY1" s="2" t="s">
        <v>120</v>
      </c>
      <c r="AZ1" s="2" t="s">
        <v>121</v>
      </c>
      <c r="BA1" s="2" t="s">
        <v>122</v>
      </c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>
      <c r="A2" t="s">
        <v>16</v>
      </c>
      <c r="B2">
        <f>COUNTIF($35:$35,A2)</f>
        <v>3</v>
      </c>
      <c r="C2">
        <f>COUNTIF($36:$36,A2)</f>
        <v>1</v>
      </c>
      <c r="D2" t="s">
        <v>123</v>
      </c>
      <c r="E2" t="s">
        <v>124</v>
      </c>
      <c r="F2">
        <f>COUNTIF(Stats!F:F,A2)</f>
        <v>14</v>
      </c>
      <c r="G2">
        <f>COUNTIF(Stats!H:H,A2)</f>
        <v>5</v>
      </c>
      <c r="H2">
        <f>COUNTIFS(Stats!F:F,A2,Stats!E:E,"H")</f>
        <v>8</v>
      </c>
      <c r="I2">
        <f>COUNTIFS(Stats!H:H,A2,Stats!G:G,"H")</f>
        <v>2</v>
      </c>
      <c r="J2">
        <f>F2-H2</f>
        <v>6</v>
      </c>
      <c r="K2">
        <f>G2-I2</f>
        <v>3</v>
      </c>
      <c r="L2">
        <f>SUMIFS(Stats!I:I,Stats!F:F,A2)+SUMIFS(Stats!J:J,Stats!H:H,A2)</f>
        <v>569</v>
      </c>
      <c r="M2">
        <f>L2/(F2+G2)</f>
        <v>29.94736842105263</v>
      </c>
      <c r="N2">
        <f>SUMIFS(Stats!I:I,Stats!H:H,A2)+SUMIFS(Stats!J:J,Stats!F:F,A2)</f>
        <v>398</v>
      </c>
      <c r="O2">
        <f>N2/SUM(F2,G2)</f>
        <v>20.94736842105263</v>
      </c>
      <c r="P2" s="15">
        <f>L2-N2</f>
        <v>171</v>
      </c>
      <c r="Q2">
        <f>P2/(F2+G2)</f>
        <v>9</v>
      </c>
      <c r="R2" s="15">
        <f>SUMIFS(Stats!K:K,Stats!F:F,A2)+SUMIFS(Stats!M:M,Stats!H:H,A2)</f>
        <v>7609</v>
      </c>
      <c r="S2" s="15">
        <f>SUMIFS(Stats!K:K,Stats!H:H,A2)+SUMIFS(Stats!M:M,Stats!F:F,A2)</f>
        <v>6402</v>
      </c>
      <c r="T2" s="15">
        <f>R2/(F2+G2)</f>
        <v>400.4736842105263</v>
      </c>
      <c r="U2" s="15">
        <f>S2/(F2+G2)</f>
        <v>336.94736842105266</v>
      </c>
      <c r="V2" s="15">
        <f>R2-S2</f>
        <v>1207</v>
      </c>
      <c r="W2" s="15">
        <f>T2-U2</f>
        <v>63.526315789473642</v>
      </c>
      <c r="X2" s="15">
        <f>SUMIFS(Stats!I:I,Stats!F:F,A2)</f>
        <v>472</v>
      </c>
      <c r="Y2" s="15">
        <f>X2/F2</f>
        <v>33.714285714285715</v>
      </c>
      <c r="Z2" s="15">
        <f>SUMIFS(Stats!J:J,Stats!F:F,A2)</f>
        <v>260</v>
      </c>
      <c r="AA2" s="15">
        <f>Z2/F2</f>
        <v>18.571428571428573</v>
      </c>
      <c r="AB2" s="15">
        <f>X2-Z2</f>
        <v>212</v>
      </c>
      <c r="AC2" s="15">
        <f>Y2-AA2</f>
        <v>15.142857142857142</v>
      </c>
      <c r="AD2" s="15">
        <f>SUMIFS(Stats!J:J,Stats!H:H,A2)</f>
        <v>97</v>
      </c>
      <c r="AE2" s="18">
        <f>AD2/G2</f>
        <v>19.399999999999999</v>
      </c>
      <c r="AF2" s="15">
        <f>SUMIFS(Stats!I:I,Stats!H:H,A2)</f>
        <v>138</v>
      </c>
      <c r="AG2" s="18">
        <f>AF2/G2</f>
        <v>27.6</v>
      </c>
      <c r="AH2" s="15">
        <f>AD2-AF2</f>
        <v>-41</v>
      </c>
      <c r="AI2" s="18">
        <f>AE2-AG2</f>
        <v>-8.2000000000000028</v>
      </c>
      <c r="AJ2" s="15">
        <f>_xlfn.MINIFS(Stats!O:O,Stats!F:F,A2)</f>
        <v>2</v>
      </c>
      <c r="AK2" s="15">
        <f>-_xlfn.MINIFS(Stats!O:O,Stats!H:H,A2)</f>
        <v>-3</v>
      </c>
      <c r="AL2" s="15">
        <f>_xlfn.MAXIFS(Stats!O:O,Stats!F:F,A2)</f>
        <v>35</v>
      </c>
      <c r="AM2" s="15">
        <f>-_xlfn.MAXIFS(Stats!O:O,Stats!H:H,A2)</f>
        <v>-10</v>
      </c>
      <c r="AN2" s="15">
        <f>_xlfn.MAXIFS(Stats!I:I,Stats!F:F,A2)</f>
        <v>48</v>
      </c>
      <c r="AO2" s="15">
        <f>IF(_xlfn.MINIFS(Stats!I:I,Stats!F:F,A2)&lt;_xlfn.MINIFS(Stats!J:J,Stats!H:H,A2),_xlfn.MINIFS(Stats!I:I,Stats!F:F,A2),_xlfn.MINIFS(Stats!J:J,Stats!H:H,A2))</f>
        <v>0</v>
      </c>
      <c r="AP2" s="15">
        <f>IF(_xlfn.MAXIFS(Stats!K:K,Stats!F:F,A2)&gt;_xlfn.MAXIFS(Stats!M:M,Stats!H:H,A2),_xlfn.MAXIFS(Stats!K:K,Stats!F:F,A2),_xlfn.MAXIFS(Stats!M:M,Stats!H:H,A2))</f>
        <v>558</v>
      </c>
      <c r="AQ2" s="15">
        <f>IF(_xlfn.MINIFS(Stats!M:M,Stats!H:H,A2)&lt;_xlfn.MINIFS(Stats!K:K,Stats!F:F,A2),_xlfn.MINIFS(Stats!M:M,Stats!H:H,A2),_xlfn.MINIFS(Stats!K:K,Stats!F:F,A2))</f>
        <v>273</v>
      </c>
      <c r="AR2" s="15">
        <f>SUMIFS(Stats!K:K,Stats!F:F,A2)/F2</f>
        <v>414.85714285714283</v>
      </c>
      <c r="AS2" s="15">
        <f>SUMIFS(Stats!M:M,Stats!F:F,A2)/F2</f>
        <v>333.85714285714283</v>
      </c>
      <c r="AT2" s="15">
        <f>AR2-AS2</f>
        <v>81</v>
      </c>
      <c r="AU2" s="15">
        <f>SUMIFS(Stats!M:M,Stats!H:H,A2)/G2</f>
        <v>360.2</v>
      </c>
      <c r="AV2" s="15">
        <f>SUMIFS(Stats!K:K,Stats!H:H,A2)/G2</f>
        <v>345.6</v>
      </c>
      <c r="AW2" s="15">
        <f>AU2-AV2</f>
        <v>14.599999999999966</v>
      </c>
      <c r="AX2" s="15">
        <f>(SUMIFS(Stats!I:I,Stats!E:E,"H",Stats!F:F,A2)+SUMIFS(Stats!J:J,Stats!H:H,A2,Stats!G:G,"H"))/(H2+I2)</f>
        <v>32.4</v>
      </c>
      <c r="AY2" s="15">
        <f>(SUMIFS(Stats!K:K,Stats!F:F,A2,Stats!E:E,"H")+SUMIFS(Stats!M:M,Stats!G:G,"H",Stats!H:H,A2))/(H2+I2)</f>
        <v>404.7</v>
      </c>
      <c r="AZ2" s="15">
        <f>(SUMIFS(Stats!I:I,Stats!E:E,"V",Stats!F:F,A2)+SUMIFS(Stats!J:J,Stats!H:H,A2,Stats!G:G,"V"))/(J2+K2)</f>
        <v>27.222222222222221</v>
      </c>
      <c r="BA2" s="15">
        <f>(SUMIFS(Stats!K:K,Stats!F:F,A2,Stats!E:E,"V")+SUMIFS(Stats!M:M,Stats!G:G,"V",Stats!H:H,A2))/(J2+K2)</f>
        <v>395.77777777777777</v>
      </c>
    </row>
    <row r="3" spans="1:71">
      <c r="A3" t="s">
        <v>21</v>
      </c>
      <c r="B3">
        <f t="shared" ref="B3:B33" si="0">COUNTIF($35:$35,A3)</f>
        <v>0</v>
      </c>
      <c r="C3">
        <f t="shared" ref="C3:C33" si="1">COUNTIF($36:$36,A3)</f>
        <v>0</v>
      </c>
      <c r="D3" t="s">
        <v>123</v>
      </c>
      <c r="E3" t="s">
        <v>125</v>
      </c>
      <c r="F3">
        <f>COUNTIF(Stats!F:F,A3)</f>
        <v>9</v>
      </c>
      <c r="G3">
        <f>COUNTIF(Stats!H:H,A3)</f>
        <v>9</v>
      </c>
      <c r="H3">
        <f>COUNTIFS(Stats!F:F,A3,Stats!E:E,"H")</f>
        <v>3</v>
      </c>
      <c r="I3">
        <f>COUNTIFS(Stats!H:H,A3,Stats!G:G,"H")</f>
        <v>5</v>
      </c>
      <c r="J3">
        <f t="shared" ref="J3:J33" si="2">F3-H3</f>
        <v>6</v>
      </c>
      <c r="K3">
        <f t="shared" ref="K3:K33" si="3">G3-I3</f>
        <v>4</v>
      </c>
      <c r="L3">
        <f>SUMIFS(Stats!I:I,Stats!F:F,A3)+SUMIFS(Stats!J:J,Stats!H:H,A3)</f>
        <v>459</v>
      </c>
      <c r="M3">
        <f t="shared" ref="M3:M33" si="4">L3/(F3+G3)</f>
        <v>25.5</v>
      </c>
      <c r="N3">
        <f>SUMIFS(Stats!I:I,Stats!H:H,A3)+SUMIFS(Stats!J:J,Stats!F:F,A3)</f>
        <v>416</v>
      </c>
      <c r="O3">
        <f t="shared" ref="O3:O33" si="5">N3/SUM(F3,G3)</f>
        <v>23.111111111111111</v>
      </c>
      <c r="P3" s="15">
        <f t="shared" ref="P3:P33" si="6">L3-N3</f>
        <v>43</v>
      </c>
      <c r="Q3">
        <f t="shared" ref="Q3:Q33" si="7">P3/(F3+G3)</f>
        <v>2.3888888888888888</v>
      </c>
      <c r="R3" s="15">
        <f>SUMIFS(Stats!K:K,Stats!F:F,A3)+SUMIFS(Stats!M:M,Stats!H:H,A3)</f>
        <v>6458</v>
      </c>
      <c r="S3" s="15">
        <f>SUMIFS(Stats!K:K,Stats!H:H,A3)+SUMIFS(Stats!M:M,Stats!F:F,A3)</f>
        <v>5939</v>
      </c>
      <c r="T3" s="15">
        <f t="shared" ref="T3:T33" si="8">R3/(F3+G3)</f>
        <v>358.77777777777777</v>
      </c>
      <c r="U3" s="15">
        <f t="shared" ref="U3:U33" si="9">S3/(F3+G3)</f>
        <v>329.94444444444446</v>
      </c>
      <c r="V3" s="15">
        <f t="shared" ref="V3:V33" si="10">R3-S3</f>
        <v>519</v>
      </c>
      <c r="W3" s="15">
        <f t="shared" ref="W3:W33" si="11">T3-U3</f>
        <v>28.833333333333314</v>
      </c>
      <c r="X3" s="15">
        <f>SUMIFS(Stats!I:I,Stats!F:F,A3)</f>
        <v>281</v>
      </c>
      <c r="Y3" s="15">
        <f t="shared" ref="Y3:Y33" si="12">X3/F3</f>
        <v>31.222222222222221</v>
      </c>
      <c r="Z3" s="15">
        <f>SUMIFS(Stats!J:J,Stats!F:F,A3)</f>
        <v>133</v>
      </c>
      <c r="AA3" s="15">
        <f t="shared" ref="AA3:AA33" si="13">Z3/F3</f>
        <v>14.777777777777779</v>
      </c>
      <c r="AB3" s="15">
        <f t="shared" ref="AB3:AB33" si="14">X3-Z3</f>
        <v>148</v>
      </c>
      <c r="AC3" s="15">
        <f t="shared" ref="AC3:AC33" si="15">Y3-AA3</f>
        <v>16.444444444444443</v>
      </c>
      <c r="AD3" s="15">
        <f>SUMIFS(Stats!J:J,Stats!H:H,A3)</f>
        <v>178</v>
      </c>
      <c r="AE3" s="18">
        <f t="shared" ref="AE3:AE33" si="16">AD3/G3</f>
        <v>19.777777777777779</v>
      </c>
      <c r="AF3" s="15">
        <f>SUMIFS(Stats!I:I,Stats!H:H,A3)</f>
        <v>283</v>
      </c>
      <c r="AG3" s="18">
        <f t="shared" ref="AG3:AG33" si="17">AF3/G3</f>
        <v>31.444444444444443</v>
      </c>
      <c r="AH3" s="15">
        <f t="shared" ref="AH3:AH33" si="18">AD3-AF3</f>
        <v>-105</v>
      </c>
      <c r="AI3" s="18">
        <f t="shared" ref="AI3:AI33" si="19">AE3-AG3</f>
        <v>-11.666666666666664</v>
      </c>
      <c r="AJ3" s="15">
        <f>_xlfn.MINIFS(Stats!O:O,Stats!F:F,A3)</f>
        <v>3</v>
      </c>
      <c r="AK3" s="15">
        <f>-_xlfn.MINIFS(Stats!O:O,Stats!H:H,A3)</f>
        <v>-3</v>
      </c>
      <c r="AL3" s="15">
        <f>_xlfn.MAXIFS(Stats!O:O,Stats!F:F,A3)</f>
        <v>38</v>
      </c>
      <c r="AM3" s="15">
        <f>-_xlfn.MAXIFS(Stats!O:O,Stats!H:H,A3)</f>
        <v>-25</v>
      </c>
      <c r="AN3" s="15">
        <f>_xlfn.MAXIFS(Stats!I:I,Stats!F:F,A3)</f>
        <v>44</v>
      </c>
      <c r="AO3" s="15">
        <f>IF(_xlfn.MINIFS(Stats!I:I,Stats!F:F,A3)&lt;_xlfn.MINIFS(Stats!J:J,Stats!H:H,A3),_xlfn.MINIFS(Stats!I:I,Stats!F:F,A3),_xlfn.MINIFS(Stats!J:J,Stats!H:H,A3))</f>
        <v>7</v>
      </c>
      <c r="AP3" s="15">
        <f>IF(_xlfn.MAXIFS(Stats!K:K,Stats!F:F,A3)&gt;_xlfn.MAXIFS(Stats!M:M,Stats!H:H,A3),_xlfn.MAXIFS(Stats!K:K,Stats!F:F,A3),_xlfn.MAXIFS(Stats!M:M,Stats!H:H,A3))</f>
        <v>519</v>
      </c>
      <c r="AQ3" s="15">
        <f>IF(_xlfn.MINIFS(Stats!M:M,Stats!H:H,A3)&lt;_xlfn.MINIFS(Stats!K:K,Stats!F:F,A3),_xlfn.MINIFS(Stats!M:M,Stats!H:H,A3),_xlfn.MINIFS(Stats!K:K,Stats!F:F,A3))</f>
        <v>213</v>
      </c>
      <c r="AR3" s="15">
        <f>SUMIFS(Stats!K:K,Stats!F:F,A3)/F3</f>
        <v>379.33333333333331</v>
      </c>
      <c r="AS3" s="15">
        <f>SUMIFS(Stats!M:M,Stats!F:F,A3)/F3</f>
        <v>267.55555555555554</v>
      </c>
      <c r="AT3" s="15">
        <f t="shared" ref="AT3:AT33" si="20">AR3-AS3</f>
        <v>111.77777777777777</v>
      </c>
      <c r="AU3" s="15">
        <f>SUMIFS(Stats!M:M,Stats!H:H,A3)/G3</f>
        <v>338.22222222222223</v>
      </c>
      <c r="AV3" s="15">
        <f>SUMIFS(Stats!K:K,Stats!H:H,A3)/G3</f>
        <v>392.33333333333331</v>
      </c>
      <c r="AW3" s="15">
        <f t="shared" ref="AW3:AW33" si="21">AU3-AV3</f>
        <v>-54.111111111111086</v>
      </c>
      <c r="AX3" s="15">
        <f>(SUMIFS(Stats!I:I,Stats!E:E,"H",Stats!F:F,A3)+SUMIFS(Stats!J:J,Stats!H:H,A3,Stats!G:G,"H"))/(H3+I3)</f>
        <v>26.75</v>
      </c>
      <c r="AY3" s="15">
        <f>(SUMIFS(Stats!K:K,Stats!F:F,A3,Stats!E:E,"H")+SUMIFS(Stats!M:M,Stats!G:G,"H",Stats!H:H,A3))/(H3+I3)</f>
        <v>358.875</v>
      </c>
      <c r="AZ3" s="15">
        <f>(SUMIFS(Stats!I:I,Stats!E:E,"V",Stats!F:F,A3)+SUMIFS(Stats!J:J,Stats!H:H,A3,Stats!G:G,"V"))/(J3+K3)</f>
        <v>24.5</v>
      </c>
      <c r="BA3" s="15">
        <f>(SUMIFS(Stats!K:K,Stats!F:F,A3,Stats!E:E,"V")+SUMIFS(Stats!M:M,Stats!G:G,"V",Stats!H:H,A3))/(J3+K3)</f>
        <v>358.7</v>
      </c>
    </row>
    <row r="4" spans="1:71">
      <c r="A4" t="s">
        <v>23</v>
      </c>
      <c r="B4">
        <f t="shared" si="0"/>
        <v>0</v>
      </c>
      <c r="C4">
        <f t="shared" si="1"/>
        <v>2</v>
      </c>
      <c r="D4" t="s">
        <v>126</v>
      </c>
      <c r="E4" t="s">
        <v>127</v>
      </c>
      <c r="F4">
        <f>COUNTIF(Stats!F:F,A4)</f>
        <v>10</v>
      </c>
      <c r="G4">
        <f>COUNTIF(Stats!H:H,A4)</f>
        <v>8</v>
      </c>
      <c r="H4">
        <f>COUNTIFS(Stats!F:F,A4,Stats!E:E,"H")</f>
        <v>7</v>
      </c>
      <c r="I4">
        <f>COUNTIFS(Stats!H:H,A4,Stats!G:G,"H")</f>
        <v>2</v>
      </c>
      <c r="J4">
        <f t="shared" si="2"/>
        <v>3</v>
      </c>
      <c r="K4">
        <f t="shared" si="3"/>
        <v>6</v>
      </c>
      <c r="L4">
        <f>SUMIFS(Stats!I:I,Stats!F:F,A4)+SUMIFS(Stats!J:J,Stats!H:H,A4)</f>
        <v>364</v>
      </c>
      <c r="M4">
        <f t="shared" si="4"/>
        <v>20.222222222222221</v>
      </c>
      <c r="N4">
        <f>SUMIFS(Stats!I:I,Stats!H:H,A4)+SUMIFS(Stats!J:J,Stats!F:F,A4)</f>
        <v>440</v>
      </c>
      <c r="O4">
        <f t="shared" si="5"/>
        <v>24.444444444444443</v>
      </c>
      <c r="P4" s="15">
        <f t="shared" si="6"/>
        <v>-76</v>
      </c>
      <c r="Q4">
        <f t="shared" si="7"/>
        <v>-4.2222222222222223</v>
      </c>
      <c r="R4" s="15">
        <f>SUMIFS(Stats!K:K,Stats!F:F,A4)+SUMIFS(Stats!M:M,Stats!H:H,A4)</f>
        <v>5618</v>
      </c>
      <c r="S4" s="15">
        <f>SUMIFS(Stats!K:K,Stats!H:H,A4)+SUMIFS(Stats!M:M,Stats!F:F,A4)</f>
        <v>6617</v>
      </c>
      <c r="T4" s="15">
        <f t="shared" si="8"/>
        <v>312.11111111111109</v>
      </c>
      <c r="U4" s="15">
        <f t="shared" si="9"/>
        <v>367.61111111111109</v>
      </c>
      <c r="V4" s="15">
        <f t="shared" si="10"/>
        <v>-999</v>
      </c>
      <c r="W4" s="15">
        <f t="shared" si="11"/>
        <v>-55.5</v>
      </c>
      <c r="X4" s="15">
        <f>SUMIFS(Stats!I:I,Stats!F:F,A4)</f>
        <v>214</v>
      </c>
      <c r="Y4" s="15">
        <f t="shared" si="12"/>
        <v>21.4</v>
      </c>
      <c r="Z4" s="15">
        <f>SUMIFS(Stats!J:J,Stats!F:F,A4)</f>
        <v>167</v>
      </c>
      <c r="AA4" s="15">
        <f t="shared" si="13"/>
        <v>16.7</v>
      </c>
      <c r="AB4" s="15">
        <f t="shared" si="14"/>
        <v>47</v>
      </c>
      <c r="AC4" s="15">
        <f t="shared" si="15"/>
        <v>4.6999999999999993</v>
      </c>
      <c r="AD4" s="15">
        <f>SUMIFS(Stats!J:J,Stats!H:H,A4)</f>
        <v>150</v>
      </c>
      <c r="AE4" s="18">
        <f t="shared" si="16"/>
        <v>18.75</v>
      </c>
      <c r="AF4" s="15">
        <f>SUMIFS(Stats!I:I,Stats!H:H,A4)</f>
        <v>273</v>
      </c>
      <c r="AG4" s="18">
        <f t="shared" si="17"/>
        <v>34.125</v>
      </c>
      <c r="AH4" s="15">
        <f t="shared" si="18"/>
        <v>-123</v>
      </c>
      <c r="AI4" s="18">
        <f t="shared" si="19"/>
        <v>-15.375</v>
      </c>
      <c r="AJ4" s="15">
        <f>_xlfn.MINIFS(Stats!O:O,Stats!F:F,A4)</f>
        <v>1</v>
      </c>
      <c r="AK4" s="15">
        <f>-_xlfn.MINIFS(Stats!O:O,Stats!H:H,A4)</f>
        <v>-4</v>
      </c>
      <c r="AL4" s="15">
        <f>_xlfn.MAXIFS(Stats!O:O,Stats!F:F,A4)</f>
        <v>12</v>
      </c>
      <c r="AM4" s="15">
        <f>-_xlfn.MAXIFS(Stats!O:O,Stats!H:H,A4)</f>
        <v>-31</v>
      </c>
      <c r="AN4" s="15">
        <f>_xlfn.MAXIFS(Stats!I:I,Stats!F:F,A4)</f>
        <v>29</v>
      </c>
      <c r="AO4" s="15">
        <f>IF(_xlfn.MINIFS(Stats!I:I,Stats!F:F,A4)&lt;_xlfn.MINIFS(Stats!J:J,Stats!H:H,A4),_xlfn.MINIFS(Stats!I:I,Stats!F:F,A4),_xlfn.MINIFS(Stats!J:J,Stats!H:H,A4))</f>
        <v>10</v>
      </c>
      <c r="AP4" s="15">
        <f>IF(_xlfn.MAXIFS(Stats!K:K,Stats!F:F,A4)&gt;_xlfn.MAXIFS(Stats!M:M,Stats!H:H,A4),_xlfn.MAXIFS(Stats!K:K,Stats!F:F,A4),_xlfn.MAXIFS(Stats!M:M,Stats!H:H,A4))</f>
        <v>391</v>
      </c>
      <c r="AQ4" s="15">
        <f>IF(_xlfn.MINIFS(Stats!M:M,Stats!H:H,A4)&lt;_xlfn.MINIFS(Stats!K:K,Stats!F:F,A4),_xlfn.MINIFS(Stats!M:M,Stats!H:H,A4),_xlfn.MINIFS(Stats!K:K,Stats!F:F,A4))</f>
        <v>168</v>
      </c>
      <c r="AR4" s="15">
        <f>SUMIFS(Stats!K:K,Stats!F:F,A4)/F4</f>
        <v>312.7</v>
      </c>
      <c r="AS4" s="15">
        <f>SUMIFS(Stats!M:M,Stats!F:F,A4)/F4</f>
        <v>333.7</v>
      </c>
      <c r="AT4" s="15">
        <f t="shared" si="20"/>
        <v>-21</v>
      </c>
      <c r="AU4" s="15">
        <f>SUMIFS(Stats!M:M,Stats!H:H,A4)/G4</f>
        <v>311.375</v>
      </c>
      <c r="AV4" s="15">
        <f>SUMIFS(Stats!K:K,Stats!H:H,A4)/G4</f>
        <v>410</v>
      </c>
      <c r="AW4" s="15">
        <f t="shared" si="21"/>
        <v>-98.625</v>
      </c>
      <c r="AX4" s="15">
        <f>(SUMIFS(Stats!I:I,Stats!E:E,"H",Stats!F:F,A4)+SUMIFS(Stats!J:J,Stats!H:H,A4,Stats!G:G,"H"))/(H4+I4)</f>
        <v>20.777777777777779</v>
      </c>
      <c r="AY4" s="15">
        <f>(SUMIFS(Stats!K:K,Stats!F:F,A4,Stats!E:E,"H")+SUMIFS(Stats!M:M,Stats!G:G,"H",Stats!H:H,A4))/(H4+I4)</f>
        <v>318.22222222222223</v>
      </c>
      <c r="AZ4" s="15">
        <f>(SUMIFS(Stats!I:I,Stats!E:E,"V",Stats!F:F,A4)+SUMIFS(Stats!J:J,Stats!H:H,A4,Stats!G:G,"V"))/(J4+K4)</f>
        <v>19.666666666666668</v>
      </c>
      <c r="BA4" s="15">
        <f>(SUMIFS(Stats!K:K,Stats!F:F,A4,Stats!E:E,"V")+SUMIFS(Stats!M:M,Stats!G:G,"V",Stats!H:H,A4))/(J4+K4)</f>
        <v>306</v>
      </c>
    </row>
    <row r="5" spans="1:71">
      <c r="A5" t="s">
        <v>25</v>
      </c>
      <c r="B5">
        <f t="shared" si="0"/>
        <v>4</v>
      </c>
      <c r="C5">
        <f t="shared" si="1"/>
        <v>1</v>
      </c>
      <c r="D5" t="s">
        <v>123</v>
      </c>
      <c r="E5" t="s">
        <v>124</v>
      </c>
      <c r="F5">
        <f>COUNTIF(Stats!F:F,A5)</f>
        <v>5</v>
      </c>
      <c r="G5">
        <f>COUNTIF(Stats!H:H,A5)</f>
        <v>12</v>
      </c>
      <c r="H5">
        <f>COUNTIFS(Stats!F:F,A5,Stats!E:E,"H")</f>
        <v>2</v>
      </c>
      <c r="I5">
        <f>COUNTIFS(Stats!H:H,A5,Stats!G:G,"H")</f>
        <v>6</v>
      </c>
      <c r="J5">
        <f t="shared" si="2"/>
        <v>3</v>
      </c>
      <c r="K5">
        <f t="shared" si="3"/>
        <v>6</v>
      </c>
      <c r="L5">
        <f>SUMIFS(Stats!I:I,Stats!F:F,A5)+SUMIFS(Stats!J:J,Stats!H:H,A5)</f>
        <v>304</v>
      </c>
      <c r="M5">
        <f t="shared" si="4"/>
        <v>17.882352941176471</v>
      </c>
      <c r="N5">
        <f>SUMIFS(Stats!I:I,Stats!H:H,A5)+SUMIFS(Stats!J:J,Stats!F:F,A5)</f>
        <v>404</v>
      </c>
      <c r="O5">
        <f t="shared" si="5"/>
        <v>23.764705882352942</v>
      </c>
      <c r="P5" s="15">
        <f t="shared" si="6"/>
        <v>-100</v>
      </c>
      <c r="Q5">
        <f t="shared" si="7"/>
        <v>-5.882352941176471</v>
      </c>
      <c r="R5" s="15">
        <f>SUMIFS(Stats!K:K,Stats!F:F,A5)+SUMIFS(Stats!M:M,Stats!H:H,A5)</f>
        <v>5081</v>
      </c>
      <c r="S5" s="15">
        <f>SUMIFS(Stats!K:K,Stats!H:H,A5)+SUMIFS(Stats!M:M,Stats!F:F,A5)</f>
        <v>5201</v>
      </c>
      <c r="T5" s="15">
        <f t="shared" si="8"/>
        <v>298.88235294117646</v>
      </c>
      <c r="U5" s="15">
        <f t="shared" si="9"/>
        <v>305.94117647058823</v>
      </c>
      <c r="V5" s="15">
        <f t="shared" si="10"/>
        <v>-120</v>
      </c>
      <c r="W5" s="15">
        <f t="shared" si="11"/>
        <v>-7.058823529411768</v>
      </c>
      <c r="X5" s="15">
        <f>SUMIFS(Stats!I:I,Stats!F:F,A5)</f>
        <v>122</v>
      </c>
      <c r="Y5" s="15">
        <f t="shared" si="12"/>
        <v>24.4</v>
      </c>
      <c r="Z5" s="15">
        <f>SUMIFS(Stats!J:J,Stats!F:F,A5)</f>
        <v>53</v>
      </c>
      <c r="AA5" s="15">
        <f t="shared" si="13"/>
        <v>10.6</v>
      </c>
      <c r="AB5" s="15">
        <f t="shared" si="14"/>
        <v>69</v>
      </c>
      <c r="AC5" s="15">
        <f t="shared" si="15"/>
        <v>13.799999999999999</v>
      </c>
      <c r="AD5" s="15">
        <f>SUMIFS(Stats!J:J,Stats!H:H,A5)</f>
        <v>182</v>
      </c>
      <c r="AE5" s="18">
        <f t="shared" si="16"/>
        <v>15.166666666666666</v>
      </c>
      <c r="AF5" s="15">
        <f>SUMIFS(Stats!I:I,Stats!H:H,A5)</f>
        <v>351</v>
      </c>
      <c r="AG5" s="18">
        <f t="shared" si="17"/>
        <v>29.25</v>
      </c>
      <c r="AH5" s="15">
        <f t="shared" si="18"/>
        <v>-169</v>
      </c>
      <c r="AI5" s="18">
        <f t="shared" si="19"/>
        <v>-14.083333333333334</v>
      </c>
      <c r="AJ5" s="15">
        <f>_xlfn.MINIFS(Stats!O:O,Stats!F:F,A5)</f>
        <v>5</v>
      </c>
      <c r="AK5" s="15">
        <f>-_xlfn.MINIFS(Stats!O:O,Stats!H:H,A5)</f>
        <v>-3</v>
      </c>
      <c r="AL5" s="15">
        <f>_xlfn.MAXIFS(Stats!O:O,Stats!F:F,A5)</f>
        <v>24</v>
      </c>
      <c r="AM5" s="15">
        <f>-_xlfn.MAXIFS(Stats!O:O,Stats!H:H,A5)</f>
        <v>-26</v>
      </c>
      <c r="AN5" s="15">
        <f>_xlfn.MAXIFS(Stats!I:I,Stats!F:F,A5)</f>
        <v>34</v>
      </c>
      <c r="AO5" s="15">
        <f>IF(_xlfn.MINIFS(Stats!I:I,Stats!F:F,A5)&lt;_xlfn.MINIFS(Stats!J:J,Stats!H:H,A5),_xlfn.MINIFS(Stats!I:I,Stats!F:F,A5),_xlfn.MINIFS(Stats!J:J,Stats!H:H,A5))</f>
        <v>3</v>
      </c>
      <c r="AP5" s="15">
        <f>IF(_xlfn.MAXIFS(Stats!K:K,Stats!F:F,A5)&gt;_xlfn.MAXIFS(Stats!M:M,Stats!H:H,A5),_xlfn.MAXIFS(Stats!K:K,Stats!F:F,A5),_xlfn.MAXIFS(Stats!M:M,Stats!H:H,A5))</f>
        <v>407</v>
      </c>
      <c r="AQ5" s="15">
        <f>IF(_xlfn.MINIFS(Stats!M:M,Stats!H:H,A5)&lt;_xlfn.MINIFS(Stats!K:K,Stats!F:F,A5),_xlfn.MINIFS(Stats!M:M,Stats!H:H,A5),_xlfn.MINIFS(Stats!K:K,Stats!F:F,A5))</f>
        <v>173</v>
      </c>
      <c r="AR5" s="15">
        <f>SUMIFS(Stats!K:K,Stats!F:F,A5)/F5</f>
        <v>368.8</v>
      </c>
      <c r="AS5" s="15">
        <f>SUMIFS(Stats!M:M,Stats!F:F,A5)/F5</f>
        <v>191</v>
      </c>
      <c r="AT5" s="15">
        <f t="shared" si="20"/>
        <v>177.8</v>
      </c>
      <c r="AU5" s="15">
        <f>SUMIFS(Stats!M:M,Stats!H:H,A5)/G5</f>
        <v>269.75</v>
      </c>
      <c r="AV5" s="15">
        <f>SUMIFS(Stats!K:K,Stats!H:H,A5)/G5</f>
        <v>353.83333333333331</v>
      </c>
      <c r="AW5" s="15">
        <f t="shared" si="21"/>
        <v>-84.083333333333314</v>
      </c>
      <c r="AX5" s="15">
        <f>(SUMIFS(Stats!I:I,Stats!E:E,"H",Stats!F:F,A5)+SUMIFS(Stats!J:J,Stats!H:H,A5,Stats!G:G,"H"))/(H5+I5)</f>
        <v>18.125</v>
      </c>
      <c r="AY5" s="15">
        <f>(SUMIFS(Stats!K:K,Stats!F:F,A5,Stats!E:E,"H")+SUMIFS(Stats!M:M,Stats!G:G,"H",Stats!H:H,A5))/(H5+I5)</f>
        <v>310.125</v>
      </c>
      <c r="AZ5" s="15">
        <f>(SUMIFS(Stats!I:I,Stats!E:E,"V",Stats!F:F,A5)+SUMIFS(Stats!J:J,Stats!H:H,A5,Stats!G:G,"V"))/(J5+K5)</f>
        <v>17.666666666666668</v>
      </c>
      <c r="BA5" s="15">
        <f>(SUMIFS(Stats!K:K,Stats!F:F,A5,Stats!E:E,"V")+SUMIFS(Stats!M:M,Stats!G:G,"V",Stats!H:H,A5))/(J5+K5)</f>
        <v>288.88888888888891</v>
      </c>
    </row>
    <row r="6" spans="1:71">
      <c r="A6" t="s">
        <v>27</v>
      </c>
      <c r="B6">
        <f t="shared" si="0"/>
        <v>2</v>
      </c>
      <c r="C6">
        <f t="shared" si="1"/>
        <v>1</v>
      </c>
      <c r="D6" t="s">
        <v>126</v>
      </c>
      <c r="E6" t="s">
        <v>127</v>
      </c>
      <c r="F6">
        <f>COUNTIF(Stats!F:F,A6)</f>
        <v>13</v>
      </c>
      <c r="G6">
        <f>COUNTIF(Stats!H:H,A6)</f>
        <v>8</v>
      </c>
      <c r="H6">
        <f>COUNTIFS(Stats!F:F,A6,Stats!E:E,"H")</f>
        <v>6</v>
      </c>
      <c r="I6">
        <f>COUNTIFS(Stats!H:H,A6,Stats!G:G,"H")</f>
        <v>4</v>
      </c>
      <c r="J6">
        <f t="shared" si="2"/>
        <v>7</v>
      </c>
      <c r="K6">
        <f t="shared" si="3"/>
        <v>4</v>
      </c>
      <c r="L6">
        <f>SUMIFS(Stats!I:I,Stats!F:F,A6)+SUMIFS(Stats!J:J,Stats!H:H,A6)</f>
        <v>552</v>
      </c>
      <c r="M6">
        <f t="shared" si="4"/>
        <v>26.285714285714285</v>
      </c>
      <c r="N6">
        <f>SUMIFS(Stats!I:I,Stats!H:H,A6)+SUMIFS(Stats!J:J,Stats!F:F,A6)</f>
        <v>458</v>
      </c>
      <c r="O6">
        <f t="shared" si="5"/>
        <v>21.80952380952381</v>
      </c>
      <c r="P6" s="15">
        <f t="shared" si="6"/>
        <v>94</v>
      </c>
      <c r="Q6">
        <f t="shared" si="7"/>
        <v>4.4761904761904763</v>
      </c>
      <c r="R6" s="15">
        <f>SUMIFS(Stats!K:K,Stats!F:F,A6)+SUMIFS(Stats!M:M,Stats!H:H,A6)</f>
        <v>7462</v>
      </c>
      <c r="S6" s="15">
        <f>SUMIFS(Stats!K:K,Stats!H:H,A6)+SUMIFS(Stats!M:M,Stats!F:F,A6)</f>
        <v>7390</v>
      </c>
      <c r="T6" s="15">
        <f t="shared" si="8"/>
        <v>355.33333333333331</v>
      </c>
      <c r="U6" s="15">
        <f t="shared" si="9"/>
        <v>351.90476190476193</v>
      </c>
      <c r="V6" s="15">
        <f t="shared" si="10"/>
        <v>72</v>
      </c>
      <c r="W6" s="15">
        <f t="shared" si="11"/>
        <v>3.428571428571388</v>
      </c>
      <c r="X6" s="15">
        <f>SUMIFS(Stats!I:I,Stats!F:F,A6)</f>
        <v>385</v>
      </c>
      <c r="Y6" s="15">
        <f t="shared" si="12"/>
        <v>29.615384615384617</v>
      </c>
      <c r="Z6" s="15">
        <f>SUMIFS(Stats!J:J,Stats!F:F,A6)</f>
        <v>227</v>
      </c>
      <c r="AA6" s="15">
        <f t="shared" si="13"/>
        <v>17.46153846153846</v>
      </c>
      <c r="AB6" s="15">
        <f t="shared" si="14"/>
        <v>158</v>
      </c>
      <c r="AC6" s="15">
        <f t="shared" si="15"/>
        <v>12.153846153846157</v>
      </c>
      <c r="AD6" s="15">
        <f>SUMIFS(Stats!J:J,Stats!H:H,A6)</f>
        <v>167</v>
      </c>
      <c r="AE6" s="18">
        <f t="shared" si="16"/>
        <v>20.875</v>
      </c>
      <c r="AF6" s="15">
        <f>SUMIFS(Stats!I:I,Stats!H:H,A6)</f>
        <v>231</v>
      </c>
      <c r="AG6" s="18">
        <f t="shared" si="17"/>
        <v>28.875</v>
      </c>
      <c r="AH6" s="15">
        <f t="shared" si="18"/>
        <v>-64</v>
      </c>
      <c r="AI6" s="18">
        <f t="shared" si="19"/>
        <v>-8</v>
      </c>
      <c r="AJ6" s="15">
        <f>_xlfn.MINIFS(Stats!O:O,Stats!F:F,A6)</f>
        <v>3</v>
      </c>
      <c r="AK6" s="15">
        <f>-_xlfn.MINIFS(Stats!O:O,Stats!H:H,A6)</f>
        <v>-3</v>
      </c>
      <c r="AL6" s="15">
        <f>_xlfn.MAXIFS(Stats!O:O,Stats!F:F,A6)</f>
        <v>31</v>
      </c>
      <c r="AM6" s="15">
        <f>-_xlfn.MAXIFS(Stats!O:O,Stats!H:H,A6)</f>
        <v>-25</v>
      </c>
      <c r="AN6" s="15">
        <f>_xlfn.MAXIFS(Stats!I:I,Stats!F:F,A6)</f>
        <v>41</v>
      </c>
      <c r="AO6" s="15">
        <f>IF(_xlfn.MINIFS(Stats!I:I,Stats!F:F,A6)&lt;_xlfn.MINIFS(Stats!J:J,Stats!H:H,A6),_xlfn.MINIFS(Stats!I:I,Stats!F:F,A6),_xlfn.MINIFS(Stats!J:J,Stats!H:H,A6))</f>
        <v>15</v>
      </c>
      <c r="AP6" s="15">
        <f>IF(_xlfn.MAXIFS(Stats!K:K,Stats!F:F,A6)&gt;_xlfn.MAXIFS(Stats!M:M,Stats!H:H,A6),_xlfn.MAXIFS(Stats!K:K,Stats!F:F,A6),_xlfn.MAXIFS(Stats!M:M,Stats!H:H,A6))</f>
        <v>575</v>
      </c>
      <c r="AQ6" s="15">
        <f>IF(_xlfn.MINIFS(Stats!M:M,Stats!H:H,A6)&lt;_xlfn.MINIFS(Stats!K:K,Stats!F:F,A6),_xlfn.MINIFS(Stats!M:M,Stats!H:H,A6),_xlfn.MINIFS(Stats!K:K,Stats!F:F,A6))</f>
        <v>182</v>
      </c>
      <c r="AR6" s="15">
        <f>SUMIFS(Stats!K:K,Stats!F:F,A6)/F6</f>
        <v>380.07692307692309</v>
      </c>
      <c r="AS6" s="15">
        <f>SUMIFS(Stats!M:M,Stats!F:F,A6)/F6</f>
        <v>341.46153846153845</v>
      </c>
      <c r="AT6" s="15">
        <f t="shared" si="20"/>
        <v>38.615384615384642</v>
      </c>
      <c r="AU6" s="15">
        <f>SUMIFS(Stats!M:M,Stats!H:H,A6)/G6</f>
        <v>315.125</v>
      </c>
      <c r="AV6" s="15">
        <f>SUMIFS(Stats!K:K,Stats!H:H,A6)/G6</f>
        <v>368.875</v>
      </c>
      <c r="AW6" s="15">
        <f t="shared" si="21"/>
        <v>-53.75</v>
      </c>
      <c r="AX6" s="15">
        <f>(SUMIFS(Stats!I:I,Stats!E:E,"H",Stats!F:F,A6)+SUMIFS(Stats!J:J,Stats!H:H,A6,Stats!G:G,"H"))/(H6+I6)</f>
        <v>27.6</v>
      </c>
      <c r="AY6" s="15">
        <f>(SUMIFS(Stats!K:K,Stats!F:F,A6,Stats!E:E,"H")+SUMIFS(Stats!M:M,Stats!G:G,"H",Stats!H:H,A6))/(H6+I6)</f>
        <v>398.2</v>
      </c>
      <c r="AZ6" s="15">
        <f>(SUMIFS(Stats!I:I,Stats!E:E,"V",Stats!F:F,A6)+SUMIFS(Stats!J:J,Stats!H:H,A6,Stats!G:G,"V"))/(J6+K6)</f>
        <v>25.09090909090909</v>
      </c>
      <c r="BA6" s="15">
        <f>(SUMIFS(Stats!K:K,Stats!F:F,A6,Stats!E:E,"V")+SUMIFS(Stats!M:M,Stats!G:G,"V",Stats!H:H,A6))/(J6+K6)</f>
        <v>316.36363636363637</v>
      </c>
    </row>
    <row r="7" spans="1:71">
      <c r="A7" t="s">
        <v>29</v>
      </c>
      <c r="B7">
        <f t="shared" si="0"/>
        <v>1</v>
      </c>
      <c r="C7">
        <f t="shared" si="1"/>
        <v>0</v>
      </c>
      <c r="D7" t="s">
        <v>123</v>
      </c>
      <c r="E7" t="s">
        <v>128</v>
      </c>
      <c r="F7">
        <f>COUNTIF(Stats!F:F,A7)</f>
        <v>7</v>
      </c>
      <c r="G7">
        <f>COUNTIF(Stats!H:H,A7)</f>
        <v>10</v>
      </c>
      <c r="H7">
        <f>COUNTIFS(Stats!F:F,A7,Stats!E:E,"H")</f>
        <v>3</v>
      </c>
      <c r="I7">
        <f>COUNTIFS(Stats!H:H,A7,Stats!G:G,"H")</f>
        <v>5</v>
      </c>
      <c r="J7">
        <f t="shared" si="2"/>
        <v>4</v>
      </c>
      <c r="K7">
        <f t="shared" si="3"/>
        <v>5</v>
      </c>
      <c r="L7">
        <f>SUMIFS(Stats!I:I,Stats!F:F,A7)+SUMIFS(Stats!J:J,Stats!H:H,A7)</f>
        <v>395</v>
      </c>
      <c r="M7">
        <f t="shared" si="4"/>
        <v>23.235294117647058</v>
      </c>
      <c r="N7">
        <f>SUMIFS(Stats!I:I,Stats!H:H,A7)+SUMIFS(Stats!J:J,Stats!F:F,A7)</f>
        <v>366</v>
      </c>
      <c r="O7">
        <f t="shared" si="5"/>
        <v>21.529411764705884</v>
      </c>
      <c r="P7" s="15">
        <f t="shared" si="6"/>
        <v>29</v>
      </c>
      <c r="Q7">
        <f t="shared" si="7"/>
        <v>1.7058823529411764</v>
      </c>
      <c r="R7" s="15">
        <f>SUMIFS(Stats!K:K,Stats!F:F,A7)+SUMIFS(Stats!M:M,Stats!H:H,A7)</f>
        <v>5506</v>
      </c>
      <c r="S7" s="15">
        <f>SUMIFS(Stats!K:K,Stats!H:H,A7)+SUMIFS(Stats!M:M,Stats!F:F,A7)</f>
        <v>6445</v>
      </c>
      <c r="T7" s="15">
        <f t="shared" si="8"/>
        <v>323.88235294117646</v>
      </c>
      <c r="U7" s="15">
        <f t="shared" si="9"/>
        <v>379.11764705882354</v>
      </c>
      <c r="V7" s="15">
        <f t="shared" si="10"/>
        <v>-939</v>
      </c>
      <c r="W7" s="15">
        <f t="shared" si="11"/>
        <v>-55.235294117647072</v>
      </c>
      <c r="X7" s="15">
        <f>SUMIFS(Stats!I:I,Stats!F:F,A7)</f>
        <v>239</v>
      </c>
      <c r="Y7" s="15">
        <f t="shared" si="12"/>
        <v>34.142857142857146</v>
      </c>
      <c r="Z7" s="15">
        <f>SUMIFS(Stats!J:J,Stats!F:F,A7)</f>
        <v>139</v>
      </c>
      <c r="AA7" s="15">
        <f t="shared" si="13"/>
        <v>19.857142857142858</v>
      </c>
      <c r="AB7" s="15">
        <f t="shared" si="14"/>
        <v>100</v>
      </c>
      <c r="AC7" s="15">
        <f t="shared" si="15"/>
        <v>14.285714285714288</v>
      </c>
      <c r="AD7" s="15">
        <f>SUMIFS(Stats!J:J,Stats!H:H,A7)</f>
        <v>156</v>
      </c>
      <c r="AE7" s="18">
        <f t="shared" si="16"/>
        <v>15.6</v>
      </c>
      <c r="AF7" s="15">
        <f>SUMIFS(Stats!I:I,Stats!H:H,A7)</f>
        <v>227</v>
      </c>
      <c r="AG7" s="18">
        <f t="shared" si="17"/>
        <v>22.7</v>
      </c>
      <c r="AH7" s="15">
        <f t="shared" si="18"/>
        <v>-71</v>
      </c>
      <c r="AI7" s="18">
        <f t="shared" si="19"/>
        <v>-7.1</v>
      </c>
      <c r="AJ7" s="15">
        <f>_xlfn.MINIFS(Stats!O:O,Stats!F:F,A7)</f>
        <v>7</v>
      </c>
      <c r="AK7" s="15">
        <f>-_xlfn.MINIFS(Stats!O:O,Stats!H:H,A7)</f>
        <v>-1</v>
      </c>
      <c r="AL7" s="15">
        <f>_xlfn.MAXIFS(Stats!O:O,Stats!F:F,A7)</f>
        <v>24</v>
      </c>
      <c r="AM7" s="15">
        <f>-_xlfn.MAXIFS(Stats!O:O,Stats!H:H,A7)</f>
        <v>-17</v>
      </c>
      <c r="AN7" s="15">
        <f>_xlfn.MAXIFS(Stats!I:I,Stats!F:F,A7)</f>
        <v>51</v>
      </c>
      <c r="AO7" s="15">
        <f>IF(_xlfn.MINIFS(Stats!I:I,Stats!F:F,A7)&lt;_xlfn.MINIFS(Stats!J:J,Stats!H:H,A7),_xlfn.MINIFS(Stats!I:I,Stats!F:F,A7),_xlfn.MINIFS(Stats!J:J,Stats!H:H,A7))</f>
        <v>0</v>
      </c>
      <c r="AP7" s="15">
        <f>IF(_xlfn.MAXIFS(Stats!K:K,Stats!F:F,A7)&gt;_xlfn.MAXIFS(Stats!M:M,Stats!H:H,A7),_xlfn.MAXIFS(Stats!K:K,Stats!F:F,A7),_xlfn.MAXIFS(Stats!M:M,Stats!H:H,A7))</f>
        <v>497</v>
      </c>
      <c r="AQ7" s="15">
        <f>IF(_xlfn.MINIFS(Stats!M:M,Stats!H:H,A7)&lt;_xlfn.MINIFS(Stats!K:K,Stats!F:F,A7),_xlfn.MINIFS(Stats!M:M,Stats!H:H,A7),_xlfn.MINIFS(Stats!K:K,Stats!F:F,A7))</f>
        <v>208</v>
      </c>
      <c r="AR7" s="15">
        <f>SUMIFS(Stats!K:K,Stats!F:F,A7)/F7</f>
        <v>364.57142857142856</v>
      </c>
      <c r="AS7" s="15">
        <f>SUMIFS(Stats!M:M,Stats!F:F,A7)/F7</f>
        <v>358.42857142857144</v>
      </c>
      <c r="AT7" s="15">
        <f t="shared" si="20"/>
        <v>6.1428571428571104</v>
      </c>
      <c r="AU7" s="15">
        <f>SUMIFS(Stats!M:M,Stats!H:H,A7)/G7</f>
        <v>295.39999999999998</v>
      </c>
      <c r="AV7" s="15">
        <f>SUMIFS(Stats!K:K,Stats!H:H,A7)/G7</f>
        <v>393.6</v>
      </c>
      <c r="AW7" s="15">
        <f t="shared" si="21"/>
        <v>-98.200000000000045</v>
      </c>
      <c r="AX7" s="15">
        <f>(SUMIFS(Stats!I:I,Stats!E:E,"H",Stats!F:F,A7)+SUMIFS(Stats!J:J,Stats!H:H,A7,Stats!G:G,"H"))/(H7+I7)</f>
        <v>25.75</v>
      </c>
      <c r="AY7" s="15">
        <f>(SUMIFS(Stats!K:K,Stats!F:F,A7,Stats!E:E,"H")+SUMIFS(Stats!M:M,Stats!G:G,"H",Stats!H:H,A7))/(H7+I7)</f>
        <v>327.5</v>
      </c>
      <c r="AZ7" s="15">
        <f>(SUMIFS(Stats!I:I,Stats!E:E,"V",Stats!F:F,A7)+SUMIFS(Stats!J:J,Stats!H:H,A7,Stats!G:G,"V"))/(J7+K7)</f>
        <v>21</v>
      </c>
      <c r="BA7" s="15">
        <f>(SUMIFS(Stats!K:K,Stats!F:F,A7,Stats!E:E,"V")+SUMIFS(Stats!M:M,Stats!G:G,"V",Stats!H:H,A7))/(J7+K7)</f>
        <v>320.66666666666669</v>
      </c>
    </row>
    <row r="8" spans="1:71">
      <c r="A8" t="s">
        <v>31</v>
      </c>
      <c r="B8">
        <f t="shared" si="0"/>
        <v>2</v>
      </c>
      <c r="C8">
        <f t="shared" si="1"/>
        <v>0</v>
      </c>
      <c r="D8" t="s">
        <v>123</v>
      </c>
      <c r="E8" t="s">
        <v>128</v>
      </c>
      <c r="F8">
        <f>COUNTIF(Stats!F:F,A8)</f>
        <v>11</v>
      </c>
      <c r="G8">
        <f>COUNTIF(Stats!H:H,A8)</f>
        <v>7</v>
      </c>
      <c r="H8">
        <f>COUNTIFS(Stats!F:F,A8,Stats!E:E,"H")</f>
        <v>3</v>
      </c>
      <c r="I8">
        <f>COUNTIFS(Stats!H:H,A8,Stats!G:G,"H")</f>
        <v>5</v>
      </c>
      <c r="J8">
        <f t="shared" si="2"/>
        <v>8</v>
      </c>
      <c r="K8">
        <f t="shared" si="3"/>
        <v>2</v>
      </c>
      <c r="L8">
        <f>SUMIFS(Stats!I:I,Stats!F:F,A8)+SUMIFS(Stats!J:J,Stats!H:H,A8)</f>
        <v>460</v>
      </c>
      <c r="M8">
        <f t="shared" si="4"/>
        <v>25.555555555555557</v>
      </c>
      <c r="N8">
        <f>SUMIFS(Stats!I:I,Stats!H:H,A8)+SUMIFS(Stats!J:J,Stats!F:F,A8)</f>
        <v>400</v>
      </c>
      <c r="O8">
        <f t="shared" si="5"/>
        <v>22.222222222222221</v>
      </c>
      <c r="P8" s="15">
        <f t="shared" si="6"/>
        <v>60</v>
      </c>
      <c r="Q8">
        <f t="shared" si="7"/>
        <v>3.3333333333333335</v>
      </c>
      <c r="R8" s="15">
        <f>SUMIFS(Stats!K:K,Stats!F:F,A8)+SUMIFS(Stats!M:M,Stats!H:H,A8)</f>
        <v>6535</v>
      </c>
      <c r="S8" s="15">
        <f>SUMIFS(Stats!K:K,Stats!H:H,A8)+SUMIFS(Stats!M:M,Stats!F:F,A8)</f>
        <v>5972</v>
      </c>
      <c r="T8" s="15">
        <f t="shared" si="8"/>
        <v>363.05555555555554</v>
      </c>
      <c r="U8" s="15">
        <f t="shared" si="9"/>
        <v>331.77777777777777</v>
      </c>
      <c r="V8" s="15">
        <f t="shared" si="10"/>
        <v>563</v>
      </c>
      <c r="W8" s="15">
        <f t="shared" si="11"/>
        <v>31.277777777777771</v>
      </c>
      <c r="X8" s="15">
        <f>SUMIFS(Stats!I:I,Stats!F:F,A8)</f>
        <v>337</v>
      </c>
      <c r="Y8" s="15">
        <f t="shared" si="12"/>
        <v>30.636363636363637</v>
      </c>
      <c r="Z8" s="15">
        <f>SUMIFS(Stats!J:J,Stats!F:F,A8)</f>
        <v>188</v>
      </c>
      <c r="AA8" s="15">
        <f t="shared" si="13"/>
        <v>17.09090909090909</v>
      </c>
      <c r="AB8" s="15">
        <f t="shared" si="14"/>
        <v>149</v>
      </c>
      <c r="AC8" s="15">
        <f t="shared" si="15"/>
        <v>13.545454545454547</v>
      </c>
      <c r="AD8" s="15">
        <f>SUMIFS(Stats!J:J,Stats!H:H,A8)</f>
        <v>123</v>
      </c>
      <c r="AE8" s="18">
        <f t="shared" si="16"/>
        <v>17.571428571428573</v>
      </c>
      <c r="AF8" s="15">
        <f>SUMIFS(Stats!I:I,Stats!H:H,A8)</f>
        <v>212</v>
      </c>
      <c r="AG8" s="18">
        <f t="shared" si="17"/>
        <v>30.285714285714285</v>
      </c>
      <c r="AH8" s="15">
        <f t="shared" si="18"/>
        <v>-89</v>
      </c>
      <c r="AI8" s="18">
        <f t="shared" si="19"/>
        <v>-12.714285714285712</v>
      </c>
      <c r="AJ8" s="15">
        <f>_xlfn.MINIFS(Stats!O:O,Stats!F:F,A8)</f>
        <v>1</v>
      </c>
      <c r="AK8" s="15">
        <f>-_xlfn.MINIFS(Stats!O:O,Stats!H:H,A8)</f>
        <v>-3</v>
      </c>
      <c r="AL8" s="15">
        <f>_xlfn.MAXIFS(Stats!O:O,Stats!F:F,A8)</f>
        <v>26</v>
      </c>
      <c r="AM8" s="15">
        <f>-_xlfn.MAXIFS(Stats!O:O,Stats!H:H,A8)</f>
        <v>-24</v>
      </c>
      <c r="AN8" s="15">
        <f>_xlfn.MAXIFS(Stats!I:I,Stats!F:F,A8)</f>
        <v>38</v>
      </c>
      <c r="AO8" s="15">
        <f>IF(_xlfn.MINIFS(Stats!I:I,Stats!F:F,A8)&lt;_xlfn.MINIFS(Stats!J:J,Stats!H:H,A8),_xlfn.MINIFS(Stats!I:I,Stats!F:F,A8),_xlfn.MINIFS(Stats!J:J,Stats!H:H,A8))</f>
        <v>10</v>
      </c>
      <c r="AP8" s="15">
        <f>IF(_xlfn.MAXIFS(Stats!K:K,Stats!F:F,A8)&gt;_xlfn.MAXIFS(Stats!M:M,Stats!H:H,A8),_xlfn.MAXIFS(Stats!K:K,Stats!F:F,A8),_xlfn.MAXIFS(Stats!M:M,Stats!H:H,A8))</f>
        <v>474</v>
      </c>
      <c r="AQ8" s="15">
        <f>IF(_xlfn.MINIFS(Stats!M:M,Stats!H:H,A8)&lt;_xlfn.MINIFS(Stats!K:K,Stats!F:F,A8),_xlfn.MINIFS(Stats!M:M,Stats!H:H,A8),_xlfn.MINIFS(Stats!K:K,Stats!F:F,A8))</f>
        <v>169</v>
      </c>
      <c r="AR8" s="15">
        <f>SUMIFS(Stats!K:K,Stats!F:F,A8)/F8</f>
        <v>392.81818181818181</v>
      </c>
      <c r="AS8" s="15">
        <f>SUMIFS(Stats!M:M,Stats!F:F,A8)/F8</f>
        <v>313.63636363636363</v>
      </c>
      <c r="AT8" s="15">
        <f t="shared" si="20"/>
        <v>79.181818181818187</v>
      </c>
      <c r="AU8" s="15">
        <f>SUMIFS(Stats!M:M,Stats!H:H,A8)/G8</f>
        <v>316.28571428571428</v>
      </c>
      <c r="AV8" s="15">
        <f>SUMIFS(Stats!K:K,Stats!H:H,A8)/G8</f>
        <v>360.28571428571428</v>
      </c>
      <c r="AW8" s="15">
        <f t="shared" si="21"/>
        <v>-44</v>
      </c>
      <c r="AX8" s="15">
        <f>(SUMIFS(Stats!I:I,Stats!E:E,"H",Stats!F:F,A8)+SUMIFS(Stats!J:J,Stats!H:H,A8,Stats!G:G,"H"))/(H8+I8)</f>
        <v>22.75</v>
      </c>
      <c r="AY8" s="15">
        <f>(SUMIFS(Stats!K:K,Stats!F:F,A8,Stats!E:E,"H")+SUMIFS(Stats!M:M,Stats!G:G,"H",Stats!H:H,A8))/(H8+I8)</f>
        <v>351</v>
      </c>
      <c r="AZ8" s="15">
        <f>(SUMIFS(Stats!I:I,Stats!E:E,"V",Stats!F:F,A8)+SUMIFS(Stats!J:J,Stats!H:H,A8,Stats!G:G,"V"))/(J8+K8)</f>
        <v>27.8</v>
      </c>
      <c r="BA8" s="15">
        <f>(SUMIFS(Stats!K:K,Stats!F:F,A8,Stats!E:E,"V")+SUMIFS(Stats!M:M,Stats!G:G,"V",Stats!H:H,A8))/(J8+K8)</f>
        <v>372.7</v>
      </c>
    </row>
    <row r="9" spans="1:71">
      <c r="A9" t="s">
        <v>33</v>
      </c>
      <c r="B9">
        <f t="shared" si="0"/>
        <v>0</v>
      </c>
      <c r="C9">
        <f t="shared" si="1"/>
        <v>0</v>
      </c>
      <c r="D9" t="s">
        <v>123</v>
      </c>
      <c r="E9" t="s">
        <v>128</v>
      </c>
      <c r="F9">
        <f>COUNTIF(Stats!F:F,A9)</f>
        <v>12</v>
      </c>
      <c r="G9">
        <f>COUNTIF(Stats!H:H,A9)</f>
        <v>8</v>
      </c>
      <c r="H9">
        <f>COUNTIFS(Stats!F:F,A9,Stats!E:E,"H")</f>
        <v>4</v>
      </c>
      <c r="I9">
        <f>COUNTIFS(Stats!H:H,A9,Stats!G:G,"H")</f>
        <v>4</v>
      </c>
      <c r="J9">
        <f t="shared" si="2"/>
        <v>8</v>
      </c>
      <c r="K9">
        <f t="shared" si="3"/>
        <v>4</v>
      </c>
      <c r="L9">
        <f>SUMIFS(Stats!I:I,Stats!F:F,A9)+SUMIFS(Stats!J:J,Stats!H:H,A9)</f>
        <v>480</v>
      </c>
      <c r="M9">
        <f t="shared" si="4"/>
        <v>24</v>
      </c>
      <c r="N9">
        <f>SUMIFS(Stats!I:I,Stats!H:H,A9)+SUMIFS(Stats!J:J,Stats!F:F,A9)</f>
        <v>412</v>
      </c>
      <c r="O9">
        <f t="shared" si="5"/>
        <v>20.6</v>
      </c>
      <c r="P9" s="15">
        <f t="shared" si="6"/>
        <v>68</v>
      </c>
      <c r="Q9">
        <f t="shared" si="7"/>
        <v>3.4</v>
      </c>
      <c r="R9" s="15">
        <f>SUMIFS(Stats!K:K,Stats!F:F,A9)+SUMIFS(Stats!M:M,Stats!H:H,A9)</f>
        <v>7222</v>
      </c>
      <c r="S9" s="15">
        <f>SUMIFS(Stats!K:K,Stats!H:H,A9)+SUMIFS(Stats!M:M,Stats!F:F,A9)</f>
        <v>6236</v>
      </c>
      <c r="T9" s="15">
        <f t="shared" si="8"/>
        <v>361.1</v>
      </c>
      <c r="U9" s="15">
        <f t="shared" si="9"/>
        <v>311.8</v>
      </c>
      <c r="V9" s="15">
        <f t="shared" si="10"/>
        <v>986</v>
      </c>
      <c r="W9" s="15">
        <f t="shared" si="11"/>
        <v>49.300000000000011</v>
      </c>
      <c r="X9" s="15">
        <f>SUMIFS(Stats!I:I,Stats!F:F,A9)</f>
        <v>329</v>
      </c>
      <c r="Y9" s="15">
        <f t="shared" si="12"/>
        <v>27.416666666666668</v>
      </c>
      <c r="Z9" s="15">
        <f>SUMIFS(Stats!J:J,Stats!F:F,A9)</f>
        <v>206</v>
      </c>
      <c r="AA9" s="15">
        <f t="shared" si="13"/>
        <v>17.166666666666668</v>
      </c>
      <c r="AB9" s="15">
        <f t="shared" si="14"/>
        <v>123</v>
      </c>
      <c r="AC9" s="15">
        <f t="shared" si="15"/>
        <v>10.25</v>
      </c>
      <c r="AD9" s="15">
        <f>SUMIFS(Stats!J:J,Stats!H:H,A9)</f>
        <v>151</v>
      </c>
      <c r="AE9" s="18">
        <f t="shared" si="16"/>
        <v>18.875</v>
      </c>
      <c r="AF9" s="15">
        <f>SUMIFS(Stats!I:I,Stats!H:H,A9)</f>
        <v>206</v>
      </c>
      <c r="AG9" s="18">
        <f t="shared" si="17"/>
        <v>25.75</v>
      </c>
      <c r="AH9" s="15">
        <f t="shared" si="18"/>
        <v>-55</v>
      </c>
      <c r="AI9" s="18">
        <f t="shared" si="19"/>
        <v>-6.875</v>
      </c>
      <c r="AJ9" s="15">
        <f>_xlfn.MINIFS(Stats!O:O,Stats!F:F,A9)</f>
        <v>3</v>
      </c>
      <c r="AK9" s="15">
        <f>-_xlfn.MINIFS(Stats!O:O,Stats!H:H,A9)</f>
        <v>-2</v>
      </c>
      <c r="AL9" s="15">
        <f>_xlfn.MAXIFS(Stats!O:O,Stats!F:F,A9)</f>
        <v>21</v>
      </c>
      <c r="AM9" s="15">
        <f>-_xlfn.MAXIFS(Stats!O:O,Stats!H:H,A9)</f>
        <v>-14</v>
      </c>
      <c r="AN9" s="15">
        <f>_xlfn.MAXIFS(Stats!I:I,Stats!F:F,A9)</f>
        <v>41</v>
      </c>
      <c r="AO9" s="15">
        <f>IF(_xlfn.MINIFS(Stats!I:I,Stats!F:F,A9)&lt;_xlfn.MINIFS(Stats!J:J,Stats!H:H,A9),_xlfn.MINIFS(Stats!I:I,Stats!F:F,A9),_xlfn.MINIFS(Stats!J:J,Stats!H:H,A9))</f>
        <v>10</v>
      </c>
      <c r="AP9" s="15">
        <f>IF(_xlfn.MAXIFS(Stats!K:K,Stats!F:F,A9)&gt;_xlfn.MAXIFS(Stats!M:M,Stats!H:H,A9),_xlfn.MAXIFS(Stats!K:K,Stats!F:F,A9),_xlfn.MAXIFS(Stats!M:M,Stats!H:H,A9))</f>
        <v>467</v>
      </c>
      <c r="AQ9" s="15">
        <f>IF(_xlfn.MINIFS(Stats!M:M,Stats!H:H,A9)&lt;_xlfn.MINIFS(Stats!K:K,Stats!F:F,A9),_xlfn.MINIFS(Stats!M:M,Stats!H:H,A9),_xlfn.MINIFS(Stats!K:K,Stats!F:F,A9))</f>
        <v>212</v>
      </c>
      <c r="AR9" s="15">
        <f>SUMIFS(Stats!K:K,Stats!F:F,A9)/F9</f>
        <v>373</v>
      </c>
      <c r="AS9" s="15">
        <f>SUMIFS(Stats!M:M,Stats!F:F,A9)/F9</f>
        <v>301</v>
      </c>
      <c r="AT9" s="15">
        <f t="shared" si="20"/>
        <v>72</v>
      </c>
      <c r="AU9" s="15">
        <f>SUMIFS(Stats!M:M,Stats!H:H,A9)/G9</f>
        <v>343.25</v>
      </c>
      <c r="AV9" s="15">
        <f>SUMIFS(Stats!K:K,Stats!H:H,A9)/G9</f>
        <v>328</v>
      </c>
      <c r="AW9" s="15">
        <f t="shared" si="21"/>
        <v>15.25</v>
      </c>
      <c r="AX9" s="15">
        <f>(SUMIFS(Stats!I:I,Stats!E:E,"H",Stats!F:F,A9)+SUMIFS(Stats!J:J,Stats!H:H,A9,Stats!G:G,"H"))/(H9+I9)</f>
        <v>25.375</v>
      </c>
      <c r="AY9" s="15">
        <f>(SUMIFS(Stats!K:K,Stats!F:F,A9,Stats!E:E,"H")+SUMIFS(Stats!M:M,Stats!G:G,"H",Stats!H:H,A9))/(H9+I9)</f>
        <v>367.875</v>
      </c>
      <c r="AZ9" s="15">
        <f>(SUMIFS(Stats!I:I,Stats!E:E,"V",Stats!F:F,A9)+SUMIFS(Stats!J:J,Stats!H:H,A9,Stats!G:G,"V"))/(J9+K9)</f>
        <v>23.083333333333332</v>
      </c>
      <c r="BA9" s="15">
        <f>(SUMIFS(Stats!K:K,Stats!F:F,A9,Stats!E:E,"V")+SUMIFS(Stats!M:M,Stats!G:G,"V",Stats!H:H,A9))/(J9+K9)</f>
        <v>356.58333333333331</v>
      </c>
    </row>
    <row r="10" spans="1:71">
      <c r="A10" t="s">
        <v>35</v>
      </c>
      <c r="B10">
        <f t="shared" si="0"/>
        <v>0</v>
      </c>
      <c r="C10">
        <f t="shared" si="1"/>
        <v>11</v>
      </c>
      <c r="D10" t="s">
        <v>126</v>
      </c>
      <c r="E10" t="s">
        <v>124</v>
      </c>
      <c r="F10">
        <f>COUNTIF(Stats!F:F,A10)</f>
        <v>4</v>
      </c>
      <c r="G10">
        <f>COUNTIF(Stats!H:H,A10)</f>
        <v>13</v>
      </c>
      <c r="H10">
        <f>COUNTIFS(Stats!F:F,A10,Stats!E:E,"H")</f>
        <v>2</v>
      </c>
      <c r="I10">
        <f>COUNTIFS(Stats!H:H,A10,Stats!G:G,"H")</f>
        <v>7</v>
      </c>
      <c r="J10">
        <f t="shared" si="2"/>
        <v>2</v>
      </c>
      <c r="K10">
        <f t="shared" si="3"/>
        <v>6</v>
      </c>
      <c r="L10">
        <f>SUMIFS(Stats!I:I,Stats!F:F,A10)+SUMIFS(Stats!J:J,Stats!H:H,A10)</f>
        <v>280</v>
      </c>
      <c r="M10">
        <f t="shared" si="4"/>
        <v>16.470588235294116</v>
      </c>
      <c r="N10">
        <f>SUMIFS(Stats!I:I,Stats!H:H,A10)+SUMIFS(Stats!J:J,Stats!F:F,A10)</f>
        <v>452</v>
      </c>
      <c r="O10">
        <f t="shared" si="5"/>
        <v>26.588235294117649</v>
      </c>
      <c r="P10" s="15">
        <f t="shared" si="6"/>
        <v>-172</v>
      </c>
      <c r="Q10">
        <f t="shared" si="7"/>
        <v>-10.117647058823529</v>
      </c>
      <c r="R10" s="15">
        <f>SUMIFS(Stats!K:K,Stats!F:F,A10)+SUMIFS(Stats!M:M,Stats!H:H,A10)</f>
        <v>4727</v>
      </c>
      <c r="S10" s="15">
        <f>SUMIFS(Stats!K:K,Stats!H:H,A10)+SUMIFS(Stats!M:M,Stats!F:F,A10)</f>
        <v>6535</v>
      </c>
      <c r="T10" s="15">
        <f t="shared" si="8"/>
        <v>278.05882352941177</v>
      </c>
      <c r="U10" s="15">
        <f t="shared" si="9"/>
        <v>384.41176470588238</v>
      </c>
      <c r="V10" s="15">
        <f t="shared" si="10"/>
        <v>-1808</v>
      </c>
      <c r="W10" s="15">
        <f t="shared" si="11"/>
        <v>-106.35294117647061</v>
      </c>
      <c r="X10" s="15">
        <f>SUMIFS(Stats!I:I,Stats!F:F,A10)</f>
        <v>130</v>
      </c>
      <c r="Y10" s="15">
        <f t="shared" si="12"/>
        <v>32.5</v>
      </c>
      <c r="Z10" s="15">
        <f>SUMIFS(Stats!J:J,Stats!F:F,A10)</f>
        <v>79</v>
      </c>
      <c r="AA10" s="15">
        <f t="shared" si="13"/>
        <v>19.75</v>
      </c>
      <c r="AB10" s="15">
        <f t="shared" si="14"/>
        <v>51</v>
      </c>
      <c r="AC10" s="15">
        <f t="shared" si="15"/>
        <v>12.75</v>
      </c>
      <c r="AD10" s="15">
        <f>SUMIFS(Stats!J:J,Stats!H:H,A10)</f>
        <v>150</v>
      </c>
      <c r="AE10" s="18">
        <f t="shared" si="16"/>
        <v>11.538461538461538</v>
      </c>
      <c r="AF10" s="15">
        <f>SUMIFS(Stats!I:I,Stats!H:H,A10)</f>
        <v>373</v>
      </c>
      <c r="AG10" s="18">
        <f t="shared" si="17"/>
        <v>28.692307692307693</v>
      </c>
      <c r="AH10" s="15">
        <f t="shared" si="18"/>
        <v>-223</v>
      </c>
      <c r="AI10" s="18">
        <f t="shared" si="19"/>
        <v>-17.153846153846153</v>
      </c>
      <c r="AJ10" s="15">
        <f>_xlfn.MINIFS(Stats!O:O,Stats!F:F,A10)</f>
        <v>9</v>
      </c>
      <c r="AK10" s="15">
        <f>-_xlfn.MINIFS(Stats!O:O,Stats!H:H,A10)</f>
        <v>-3</v>
      </c>
      <c r="AL10" s="15">
        <f>_xlfn.MAXIFS(Stats!O:O,Stats!F:F,A10)</f>
        <v>16</v>
      </c>
      <c r="AM10" s="15">
        <f>-_xlfn.MAXIFS(Stats!O:O,Stats!H:H,A10)</f>
        <v>-40</v>
      </c>
      <c r="AN10" s="15">
        <f>_xlfn.MAXIFS(Stats!I:I,Stats!F:F,A10)</f>
        <v>41</v>
      </c>
      <c r="AO10" s="15">
        <f>IF(_xlfn.MINIFS(Stats!I:I,Stats!F:F,A10)&lt;_xlfn.MINIFS(Stats!J:J,Stats!H:H,A10),_xlfn.MINIFS(Stats!I:I,Stats!F:F,A10),_xlfn.MINIFS(Stats!J:J,Stats!H:H,A10))</f>
        <v>0</v>
      </c>
      <c r="AP10" s="15">
        <f>IF(_xlfn.MAXIFS(Stats!K:K,Stats!F:F,A10)&gt;_xlfn.MAXIFS(Stats!M:M,Stats!H:H,A10),_xlfn.MAXIFS(Stats!K:K,Stats!F:F,A10),_xlfn.MAXIFS(Stats!M:M,Stats!H:H,A10))</f>
        <v>449</v>
      </c>
      <c r="AQ10" s="15">
        <f>IF(_xlfn.MINIFS(Stats!M:M,Stats!H:H,A10)&lt;_xlfn.MINIFS(Stats!K:K,Stats!F:F,A10),_xlfn.MINIFS(Stats!M:M,Stats!H:H,A10),_xlfn.MINIFS(Stats!K:K,Stats!F:F,A10))</f>
        <v>109</v>
      </c>
      <c r="AR10" s="15">
        <f>SUMIFS(Stats!K:K,Stats!F:F,A10)/F10</f>
        <v>339.25</v>
      </c>
      <c r="AS10" s="15">
        <f>SUMIFS(Stats!M:M,Stats!F:F,A10)/F10</f>
        <v>382</v>
      </c>
      <c r="AT10" s="15">
        <f t="shared" si="20"/>
        <v>-42.75</v>
      </c>
      <c r="AU10" s="15">
        <f>SUMIFS(Stats!M:M,Stats!H:H,A10)/G10</f>
        <v>259.23076923076923</v>
      </c>
      <c r="AV10" s="15">
        <f>SUMIFS(Stats!K:K,Stats!H:H,A10)/G10</f>
        <v>385.15384615384613</v>
      </c>
      <c r="AW10" s="15">
        <f t="shared" si="21"/>
        <v>-125.92307692307691</v>
      </c>
      <c r="AX10" s="15">
        <f>(SUMIFS(Stats!I:I,Stats!E:E,"H",Stats!F:F,A10)+SUMIFS(Stats!J:J,Stats!H:H,A10,Stats!G:G,"H"))/(H10+I10)</f>
        <v>20.333333333333332</v>
      </c>
      <c r="AY10" s="15">
        <f>(SUMIFS(Stats!K:K,Stats!F:F,A10,Stats!E:E,"H")+SUMIFS(Stats!M:M,Stats!G:G,"H",Stats!H:H,A10))/(H10+I10)</f>
        <v>315.33333333333331</v>
      </c>
      <c r="AZ10" s="15">
        <f>(SUMIFS(Stats!I:I,Stats!E:E,"V",Stats!F:F,A10)+SUMIFS(Stats!J:J,Stats!H:H,A10,Stats!G:G,"V"))/(J10+K10)</f>
        <v>12.125</v>
      </c>
      <c r="BA10" s="15">
        <f>(SUMIFS(Stats!K:K,Stats!F:F,A10,Stats!E:E,"V")+SUMIFS(Stats!M:M,Stats!G:G,"V",Stats!H:H,A10))/(J10+K10)</f>
        <v>236.125</v>
      </c>
    </row>
    <row r="11" spans="1:71">
      <c r="A11" t="s">
        <v>37</v>
      </c>
      <c r="B11">
        <f t="shared" si="0"/>
        <v>0</v>
      </c>
      <c r="C11">
        <f t="shared" si="1"/>
        <v>1</v>
      </c>
      <c r="D11" t="s">
        <v>126</v>
      </c>
      <c r="E11" t="s">
        <v>128</v>
      </c>
      <c r="F11">
        <f>COUNTIF(Stats!F:F,A11)</f>
        <v>9</v>
      </c>
      <c r="G11">
        <f>COUNTIF(Stats!H:H,A11)</f>
        <v>8</v>
      </c>
      <c r="H11">
        <f>COUNTIFS(Stats!F:F,A11,Stats!E:E,"H")</f>
        <v>5</v>
      </c>
      <c r="I11">
        <f>COUNTIFS(Stats!H:H,A11,Stats!G:G,"H")</f>
        <v>4</v>
      </c>
      <c r="J11">
        <f t="shared" si="2"/>
        <v>4</v>
      </c>
      <c r="K11">
        <f t="shared" si="3"/>
        <v>4</v>
      </c>
      <c r="L11">
        <f>SUMIFS(Stats!I:I,Stats!F:F,A11)+SUMIFS(Stats!J:J,Stats!H:H,A11)</f>
        <v>474</v>
      </c>
      <c r="M11">
        <f t="shared" si="4"/>
        <v>27.882352941176471</v>
      </c>
      <c r="N11">
        <f>SUMIFS(Stats!I:I,Stats!H:H,A11)+SUMIFS(Stats!J:J,Stats!F:F,A11)</f>
        <v>459</v>
      </c>
      <c r="O11">
        <f t="shared" si="5"/>
        <v>27</v>
      </c>
      <c r="P11" s="15">
        <f t="shared" si="6"/>
        <v>15</v>
      </c>
      <c r="Q11">
        <f t="shared" si="7"/>
        <v>0.88235294117647056</v>
      </c>
      <c r="R11" s="15">
        <f>SUMIFS(Stats!K:K,Stats!F:F,A11)+SUMIFS(Stats!M:M,Stats!H:H,A11)</f>
        <v>6634</v>
      </c>
      <c r="S11" s="15">
        <f>SUMIFS(Stats!K:K,Stats!H:H,A11)+SUMIFS(Stats!M:M,Stats!F:F,A11)</f>
        <v>6122</v>
      </c>
      <c r="T11" s="15">
        <f t="shared" si="8"/>
        <v>390.23529411764707</v>
      </c>
      <c r="U11" s="15">
        <f t="shared" si="9"/>
        <v>360.11764705882354</v>
      </c>
      <c r="V11" s="15">
        <f t="shared" si="10"/>
        <v>512</v>
      </c>
      <c r="W11" s="15">
        <f t="shared" si="11"/>
        <v>30.117647058823536</v>
      </c>
      <c r="X11" s="15">
        <f>SUMIFS(Stats!I:I,Stats!F:F,A11)</f>
        <v>305</v>
      </c>
      <c r="Y11" s="15">
        <f t="shared" si="12"/>
        <v>33.888888888888886</v>
      </c>
      <c r="Z11" s="15">
        <f>SUMIFS(Stats!J:J,Stats!F:F,A11)</f>
        <v>213</v>
      </c>
      <c r="AA11" s="15">
        <f t="shared" si="13"/>
        <v>23.666666666666668</v>
      </c>
      <c r="AB11" s="15">
        <f t="shared" si="14"/>
        <v>92</v>
      </c>
      <c r="AC11" s="15">
        <f t="shared" si="15"/>
        <v>10.222222222222218</v>
      </c>
      <c r="AD11" s="15">
        <f>SUMIFS(Stats!J:J,Stats!H:H,A11)</f>
        <v>169</v>
      </c>
      <c r="AE11" s="18">
        <f t="shared" si="16"/>
        <v>21.125</v>
      </c>
      <c r="AF11" s="15">
        <f>SUMIFS(Stats!I:I,Stats!H:H,A11)</f>
        <v>246</v>
      </c>
      <c r="AG11" s="18">
        <f t="shared" si="17"/>
        <v>30.75</v>
      </c>
      <c r="AH11" s="15">
        <f t="shared" si="18"/>
        <v>-77</v>
      </c>
      <c r="AI11" s="18">
        <f t="shared" si="19"/>
        <v>-9.625</v>
      </c>
      <c r="AJ11" s="15">
        <f>_xlfn.MINIFS(Stats!O:O,Stats!F:F,A11)</f>
        <v>3</v>
      </c>
      <c r="AK11" s="15">
        <f>-_xlfn.MINIFS(Stats!O:O,Stats!H:H,A11)</f>
        <v>-3</v>
      </c>
      <c r="AL11" s="15">
        <f>_xlfn.MAXIFS(Stats!O:O,Stats!F:F,A11)</f>
        <v>21</v>
      </c>
      <c r="AM11" s="15">
        <f>-_xlfn.MAXIFS(Stats!O:O,Stats!H:H,A11)</f>
        <v>-28</v>
      </c>
      <c r="AN11" s="15">
        <f>_xlfn.MAXIFS(Stats!I:I,Stats!F:F,A11)</f>
        <v>47</v>
      </c>
      <c r="AO11" s="15">
        <f>IF(_xlfn.MINIFS(Stats!I:I,Stats!F:F,A11)&lt;_xlfn.MINIFS(Stats!J:J,Stats!H:H,A11),_xlfn.MINIFS(Stats!I:I,Stats!F:F,A11),_xlfn.MINIFS(Stats!J:J,Stats!H:H,A11))</f>
        <v>6</v>
      </c>
      <c r="AP11" s="15">
        <f>IF(_xlfn.MAXIFS(Stats!K:K,Stats!F:F,A11)&gt;_xlfn.MAXIFS(Stats!M:M,Stats!H:H,A11),_xlfn.MAXIFS(Stats!K:K,Stats!F:F,A11),_xlfn.MAXIFS(Stats!M:M,Stats!H:H,A11))</f>
        <v>533</v>
      </c>
      <c r="AQ11" s="15">
        <f>IF(_xlfn.MINIFS(Stats!M:M,Stats!H:H,A11)&lt;_xlfn.MINIFS(Stats!K:K,Stats!F:F,A11),_xlfn.MINIFS(Stats!M:M,Stats!H:H,A11),_xlfn.MINIFS(Stats!K:K,Stats!F:F,A11))</f>
        <v>208</v>
      </c>
      <c r="AR11" s="15">
        <f>SUMIFS(Stats!K:K,Stats!F:F,A11)/F11</f>
        <v>417.11111111111109</v>
      </c>
      <c r="AS11" s="15">
        <f>SUMIFS(Stats!M:M,Stats!F:F,A11)/F11</f>
        <v>340.22222222222223</v>
      </c>
      <c r="AT11" s="15">
        <f t="shared" si="20"/>
        <v>76.888888888888857</v>
      </c>
      <c r="AU11" s="15">
        <f>SUMIFS(Stats!M:M,Stats!H:H,A11)/G11</f>
        <v>360</v>
      </c>
      <c r="AV11" s="15">
        <f>SUMIFS(Stats!K:K,Stats!H:H,A11)/G11</f>
        <v>382.5</v>
      </c>
      <c r="AW11" s="15">
        <f t="shared" si="21"/>
        <v>-22.5</v>
      </c>
      <c r="AX11" s="15">
        <f>(SUMIFS(Stats!I:I,Stats!E:E,"H",Stats!F:F,A11)+SUMIFS(Stats!J:J,Stats!H:H,A11,Stats!G:G,"H"))/(H11+I11)</f>
        <v>30.666666666666668</v>
      </c>
      <c r="AY11" s="15">
        <f>(SUMIFS(Stats!K:K,Stats!F:F,A11,Stats!E:E,"H")+SUMIFS(Stats!M:M,Stats!G:G,"H",Stats!H:H,A11))/(H11+I11)</f>
        <v>403.11111111111109</v>
      </c>
      <c r="AZ11" s="15">
        <f>(SUMIFS(Stats!I:I,Stats!E:E,"V",Stats!F:F,A11)+SUMIFS(Stats!J:J,Stats!H:H,A11,Stats!G:G,"V"))/(J11+K11)</f>
        <v>24.75</v>
      </c>
      <c r="BA11" s="15">
        <f>(SUMIFS(Stats!K:K,Stats!F:F,A11,Stats!E:E,"V")+SUMIFS(Stats!M:M,Stats!G:G,"V",Stats!H:H,A11))/(J11+K11)</f>
        <v>375.75</v>
      </c>
    </row>
    <row r="12" spans="1:71">
      <c r="A12" t="s">
        <v>40</v>
      </c>
      <c r="B12">
        <f t="shared" si="0"/>
        <v>7</v>
      </c>
      <c r="C12">
        <f t="shared" si="1"/>
        <v>0</v>
      </c>
      <c r="D12" t="s">
        <v>126</v>
      </c>
      <c r="E12" t="s">
        <v>128</v>
      </c>
      <c r="F12">
        <f>COUNTIF(Stats!F:F,A12)</f>
        <v>14</v>
      </c>
      <c r="G12">
        <f>COUNTIF(Stats!H:H,A12)</f>
        <v>6</v>
      </c>
      <c r="H12">
        <f>COUNTIFS(Stats!F:F,A12,Stats!E:E,"H")</f>
        <v>9</v>
      </c>
      <c r="I12">
        <f>COUNTIFS(Stats!H:H,A12,Stats!G:G,"H")</f>
        <v>3</v>
      </c>
      <c r="J12">
        <f t="shared" si="2"/>
        <v>5</v>
      </c>
      <c r="K12">
        <f t="shared" si="3"/>
        <v>3</v>
      </c>
      <c r="L12">
        <f>SUMIFS(Stats!I:I,Stats!F:F,A12)+SUMIFS(Stats!J:J,Stats!H:H,A12)</f>
        <v>588</v>
      </c>
      <c r="M12">
        <f t="shared" si="4"/>
        <v>29.4</v>
      </c>
      <c r="N12">
        <f>SUMIFS(Stats!I:I,Stats!H:H,A12)+SUMIFS(Stats!J:J,Stats!F:F,A12)</f>
        <v>448</v>
      </c>
      <c r="O12">
        <f t="shared" si="5"/>
        <v>22.4</v>
      </c>
      <c r="P12" s="15">
        <f t="shared" si="6"/>
        <v>140</v>
      </c>
      <c r="Q12">
        <f t="shared" si="7"/>
        <v>7</v>
      </c>
      <c r="R12" s="15">
        <f>SUMIFS(Stats!K:K,Stats!F:F,A12)+SUMIFS(Stats!M:M,Stats!H:H,A12)</f>
        <v>8151</v>
      </c>
      <c r="S12" s="15">
        <f>SUMIFS(Stats!K:K,Stats!H:H,A12)+SUMIFS(Stats!M:M,Stats!F:F,A12)</f>
        <v>7310</v>
      </c>
      <c r="T12" s="15">
        <f t="shared" si="8"/>
        <v>407.55</v>
      </c>
      <c r="U12" s="15">
        <f t="shared" si="9"/>
        <v>365.5</v>
      </c>
      <c r="V12" s="15">
        <f t="shared" si="10"/>
        <v>841</v>
      </c>
      <c r="W12" s="15">
        <f t="shared" si="11"/>
        <v>42.050000000000011</v>
      </c>
      <c r="X12" s="15">
        <f>SUMIFS(Stats!I:I,Stats!F:F,A12)</f>
        <v>451</v>
      </c>
      <c r="Y12" s="15">
        <f t="shared" si="12"/>
        <v>32.214285714285715</v>
      </c>
      <c r="Z12" s="15">
        <f>SUMIFS(Stats!J:J,Stats!F:F,A12)</f>
        <v>256</v>
      </c>
      <c r="AA12" s="15">
        <f t="shared" si="13"/>
        <v>18.285714285714285</v>
      </c>
      <c r="AB12" s="15">
        <f t="shared" si="14"/>
        <v>195</v>
      </c>
      <c r="AC12" s="15">
        <f t="shared" si="15"/>
        <v>13.928571428571431</v>
      </c>
      <c r="AD12" s="15">
        <f>SUMIFS(Stats!J:J,Stats!H:H,A12)</f>
        <v>137</v>
      </c>
      <c r="AE12" s="18">
        <f t="shared" si="16"/>
        <v>22.833333333333332</v>
      </c>
      <c r="AF12" s="15">
        <f>SUMIFS(Stats!I:I,Stats!H:H,A12)</f>
        <v>192</v>
      </c>
      <c r="AG12" s="18">
        <f t="shared" si="17"/>
        <v>32</v>
      </c>
      <c r="AH12" s="15">
        <f t="shared" si="18"/>
        <v>-55</v>
      </c>
      <c r="AI12" s="18">
        <f t="shared" si="19"/>
        <v>-9.1666666666666679</v>
      </c>
      <c r="AJ12" s="15">
        <f>_xlfn.MINIFS(Stats!O:O,Stats!F:F,A12)</f>
        <v>3</v>
      </c>
      <c r="AK12" s="15">
        <f>-_xlfn.MINIFS(Stats!O:O,Stats!H:H,A12)</f>
        <v>-1</v>
      </c>
      <c r="AL12" s="15">
        <f>_xlfn.MAXIFS(Stats!O:O,Stats!F:F,A12)</f>
        <v>39</v>
      </c>
      <c r="AM12" s="15">
        <f>-_xlfn.MAXIFS(Stats!O:O,Stats!H:H,A12)</f>
        <v>-24</v>
      </c>
      <c r="AN12" s="15">
        <f>_xlfn.MAXIFS(Stats!I:I,Stats!F:F,A12)</f>
        <v>48</v>
      </c>
      <c r="AO12" s="15">
        <f>IF(_xlfn.MINIFS(Stats!I:I,Stats!F:F,A12)&lt;_xlfn.MINIFS(Stats!J:J,Stats!H:H,A12),_xlfn.MINIFS(Stats!I:I,Stats!F:F,A12),_xlfn.MINIFS(Stats!J:J,Stats!H:H,A12))</f>
        <v>3</v>
      </c>
      <c r="AP12" s="15">
        <f>IF(_xlfn.MAXIFS(Stats!K:K,Stats!F:F,A12)&gt;_xlfn.MAXIFS(Stats!M:M,Stats!H:H,A12),_xlfn.MAXIFS(Stats!K:K,Stats!F:F,A12),_xlfn.MAXIFS(Stats!M:M,Stats!H:H,A12))</f>
        <v>552</v>
      </c>
      <c r="AQ12" s="15">
        <f>IF(_xlfn.MINIFS(Stats!M:M,Stats!H:H,A12)&lt;_xlfn.MINIFS(Stats!K:K,Stats!F:F,A12),_xlfn.MINIFS(Stats!M:M,Stats!H:H,A12),_xlfn.MINIFS(Stats!K:K,Stats!F:F,A12))</f>
        <v>237</v>
      </c>
      <c r="AR12" s="15">
        <f>SUMIFS(Stats!K:K,Stats!F:F,A12)/F12</f>
        <v>413.85714285714283</v>
      </c>
      <c r="AS12" s="15">
        <f>SUMIFS(Stats!M:M,Stats!F:F,A12)/F12</f>
        <v>345.57142857142856</v>
      </c>
      <c r="AT12" s="15">
        <f t="shared" si="20"/>
        <v>68.285714285714278</v>
      </c>
      <c r="AU12" s="15">
        <f>SUMIFS(Stats!M:M,Stats!H:H,A12)/G12</f>
        <v>392.83333333333331</v>
      </c>
      <c r="AV12" s="15">
        <f>SUMIFS(Stats!K:K,Stats!H:H,A12)/G12</f>
        <v>412</v>
      </c>
      <c r="AW12" s="15">
        <f t="shared" si="21"/>
        <v>-19.166666666666686</v>
      </c>
      <c r="AX12" s="15">
        <f>(SUMIFS(Stats!I:I,Stats!E:E,"H",Stats!F:F,A12)+SUMIFS(Stats!J:J,Stats!H:H,A12,Stats!G:G,"H"))/(H12+I12)</f>
        <v>28.583333333333332</v>
      </c>
      <c r="AY12" s="15">
        <f>(SUMIFS(Stats!K:K,Stats!F:F,A12,Stats!E:E,"H")+SUMIFS(Stats!M:M,Stats!G:G,"H",Stats!H:H,A12))/(H12+I12)</f>
        <v>385.5</v>
      </c>
      <c r="AZ12" s="15">
        <f>(SUMIFS(Stats!I:I,Stats!E:E,"V",Stats!F:F,A12)+SUMIFS(Stats!J:J,Stats!H:H,A12,Stats!G:G,"V"))/(J12+K12)</f>
        <v>30.625</v>
      </c>
      <c r="BA12" s="15">
        <f>(SUMIFS(Stats!K:K,Stats!F:F,A12,Stats!E:E,"V")+SUMIFS(Stats!M:M,Stats!G:G,"V",Stats!H:H,A12))/(J12+K12)</f>
        <v>440.625</v>
      </c>
    </row>
    <row r="13" spans="1:71">
      <c r="A13" t="s">
        <v>42</v>
      </c>
      <c r="B13">
        <f t="shared" si="0"/>
        <v>1</v>
      </c>
      <c r="C13">
        <f t="shared" si="1"/>
        <v>0</v>
      </c>
      <c r="D13" t="s">
        <v>126</v>
      </c>
      <c r="E13" t="s">
        <v>128</v>
      </c>
      <c r="F13">
        <f>COUNTIF(Stats!F:F,A13)</f>
        <v>7</v>
      </c>
      <c r="G13">
        <f>COUNTIF(Stats!H:H,A13)</f>
        <v>10</v>
      </c>
      <c r="H13">
        <f>COUNTIFS(Stats!F:F,A13,Stats!E:E,"H")</f>
        <v>4</v>
      </c>
      <c r="I13">
        <f>COUNTIFS(Stats!H:H,A13,Stats!G:G,"H")</f>
        <v>5</v>
      </c>
      <c r="J13">
        <f t="shared" si="2"/>
        <v>3</v>
      </c>
      <c r="K13">
        <f t="shared" si="3"/>
        <v>5</v>
      </c>
      <c r="L13">
        <f>SUMIFS(Stats!I:I,Stats!F:F,A13)+SUMIFS(Stats!J:J,Stats!H:H,A13)</f>
        <v>335</v>
      </c>
      <c r="M13">
        <f t="shared" si="4"/>
        <v>19.705882352941178</v>
      </c>
      <c r="N13">
        <f>SUMIFS(Stats!I:I,Stats!H:H,A13)+SUMIFS(Stats!J:J,Stats!F:F,A13)</f>
        <v>322</v>
      </c>
      <c r="O13">
        <f t="shared" si="5"/>
        <v>18.941176470588236</v>
      </c>
      <c r="P13" s="15">
        <f t="shared" si="6"/>
        <v>13</v>
      </c>
      <c r="Q13">
        <f t="shared" si="7"/>
        <v>0.76470588235294112</v>
      </c>
      <c r="R13" s="15">
        <f>SUMIFS(Stats!K:K,Stats!F:F,A13)+SUMIFS(Stats!M:M,Stats!H:H,A13)</f>
        <v>5618</v>
      </c>
      <c r="S13" s="15">
        <f>SUMIFS(Stats!K:K,Stats!H:H,A13)+SUMIFS(Stats!M:M,Stats!F:F,A13)</f>
        <v>5544</v>
      </c>
      <c r="T13" s="15">
        <f t="shared" si="8"/>
        <v>330.47058823529414</v>
      </c>
      <c r="U13" s="15">
        <f t="shared" si="9"/>
        <v>326.11764705882354</v>
      </c>
      <c r="V13" s="15">
        <f t="shared" si="10"/>
        <v>74</v>
      </c>
      <c r="W13" s="15">
        <f t="shared" si="11"/>
        <v>4.3529411764706083</v>
      </c>
      <c r="X13" s="15">
        <f>SUMIFS(Stats!I:I,Stats!F:F,A13)</f>
        <v>189</v>
      </c>
      <c r="Y13" s="15">
        <f t="shared" si="12"/>
        <v>27</v>
      </c>
      <c r="Z13" s="15">
        <f>SUMIFS(Stats!J:J,Stats!F:F,A13)</f>
        <v>75</v>
      </c>
      <c r="AA13" s="15">
        <f t="shared" si="13"/>
        <v>10.714285714285714</v>
      </c>
      <c r="AB13" s="15">
        <f t="shared" si="14"/>
        <v>114</v>
      </c>
      <c r="AC13" s="15">
        <f t="shared" si="15"/>
        <v>16.285714285714285</v>
      </c>
      <c r="AD13" s="15">
        <f>SUMIFS(Stats!J:J,Stats!H:H,A13)</f>
        <v>146</v>
      </c>
      <c r="AE13" s="18">
        <f t="shared" si="16"/>
        <v>14.6</v>
      </c>
      <c r="AF13" s="15">
        <f>SUMIFS(Stats!I:I,Stats!H:H,A13)</f>
        <v>247</v>
      </c>
      <c r="AG13" s="18">
        <f t="shared" si="17"/>
        <v>24.7</v>
      </c>
      <c r="AH13" s="15">
        <f t="shared" si="18"/>
        <v>-101</v>
      </c>
      <c r="AI13" s="18">
        <f t="shared" si="19"/>
        <v>-10.1</v>
      </c>
      <c r="AJ13" s="15">
        <f>_xlfn.MINIFS(Stats!O:O,Stats!F:F,A13)</f>
        <v>7</v>
      </c>
      <c r="AK13" s="15">
        <f>-_xlfn.MINIFS(Stats!O:O,Stats!H:H,A13)</f>
        <v>-3</v>
      </c>
      <c r="AL13" s="15">
        <f>_xlfn.MAXIFS(Stats!O:O,Stats!F:F,A13)</f>
        <v>28</v>
      </c>
      <c r="AM13" s="15">
        <f>-_xlfn.MAXIFS(Stats!O:O,Stats!H:H,A13)</f>
        <v>-21</v>
      </c>
      <c r="AN13" s="15">
        <f>_xlfn.MAXIFS(Stats!I:I,Stats!F:F,A13)</f>
        <v>38</v>
      </c>
      <c r="AO13" s="15">
        <f>IF(_xlfn.MINIFS(Stats!I:I,Stats!F:F,A13)&lt;_xlfn.MINIFS(Stats!J:J,Stats!H:H,A13),_xlfn.MINIFS(Stats!I:I,Stats!F:F,A13),_xlfn.MINIFS(Stats!J:J,Stats!H:H,A13))</f>
        <v>7</v>
      </c>
      <c r="AP13" s="15">
        <f>IF(_xlfn.MAXIFS(Stats!K:K,Stats!F:F,A13)&gt;_xlfn.MAXIFS(Stats!M:M,Stats!H:H,A13),_xlfn.MAXIFS(Stats!K:K,Stats!F:F,A13),_xlfn.MAXIFS(Stats!M:M,Stats!H:H,A13))</f>
        <v>421</v>
      </c>
      <c r="AQ13" s="15">
        <f>IF(_xlfn.MINIFS(Stats!M:M,Stats!H:H,A13)&lt;_xlfn.MINIFS(Stats!K:K,Stats!F:F,A13),_xlfn.MINIFS(Stats!M:M,Stats!H:H,A13),_xlfn.MINIFS(Stats!K:K,Stats!F:F,A13))</f>
        <v>158</v>
      </c>
      <c r="AR13" s="15">
        <f>SUMIFS(Stats!K:K,Stats!F:F,A13)/F13</f>
        <v>357.28571428571428</v>
      </c>
      <c r="AS13" s="15">
        <f>SUMIFS(Stats!M:M,Stats!F:F,A13)/F13</f>
        <v>281.42857142857144</v>
      </c>
      <c r="AT13" s="15">
        <f t="shared" si="20"/>
        <v>75.857142857142833</v>
      </c>
      <c r="AU13" s="15">
        <f>SUMIFS(Stats!M:M,Stats!H:H,A13)/G13</f>
        <v>311.7</v>
      </c>
      <c r="AV13" s="15">
        <f>SUMIFS(Stats!K:K,Stats!H:H,A13)/G13</f>
        <v>357.4</v>
      </c>
      <c r="AW13" s="15">
        <f t="shared" si="21"/>
        <v>-45.699999999999989</v>
      </c>
      <c r="AX13" s="15">
        <f>(SUMIFS(Stats!I:I,Stats!E:E,"H",Stats!F:F,A13)+SUMIFS(Stats!J:J,Stats!H:H,A13,Stats!G:G,"H"))/(H13+I13)</f>
        <v>20.777777777777779</v>
      </c>
      <c r="AY13" s="15">
        <f>(SUMIFS(Stats!K:K,Stats!F:F,A13,Stats!E:E,"H")+SUMIFS(Stats!M:M,Stats!G:G,"H",Stats!H:H,A13))/(H13+I13)</f>
        <v>323.88888888888891</v>
      </c>
      <c r="AZ13" s="15">
        <f>(SUMIFS(Stats!I:I,Stats!E:E,"V",Stats!F:F,A13)+SUMIFS(Stats!J:J,Stats!H:H,A13,Stats!G:G,"V"))/(J13+K13)</f>
        <v>18.5</v>
      </c>
      <c r="BA13" s="15">
        <f>(SUMIFS(Stats!K:K,Stats!F:F,A13,Stats!E:E,"V")+SUMIFS(Stats!M:M,Stats!G:G,"V",Stats!H:H,A13))/(J13+K13)</f>
        <v>337.875</v>
      </c>
    </row>
    <row r="14" spans="1:71">
      <c r="A14" t="s">
        <v>44</v>
      </c>
      <c r="B14">
        <f t="shared" si="0"/>
        <v>0</v>
      </c>
      <c r="C14">
        <f t="shared" si="1"/>
        <v>0</v>
      </c>
      <c r="D14" t="s">
        <v>123</v>
      </c>
      <c r="E14" t="s">
        <v>124</v>
      </c>
      <c r="F14">
        <f>COUNTIF(Stats!F:F,A14)</f>
        <v>9</v>
      </c>
      <c r="G14">
        <f>COUNTIF(Stats!H:H,A14)</f>
        <v>8</v>
      </c>
      <c r="H14">
        <f>COUNTIFS(Stats!F:F,A14,Stats!E:E,"H")</f>
        <v>3</v>
      </c>
      <c r="I14">
        <f>COUNTIFS(Stats!H:H,A14,Stats!G:G,"H")</f>
        <v>5</v>
      </c>
      <c r="J14">
        <f t="shared" si="2"/>
        <v>6</v>
      </c>
      <c r="K14">
        <f t="shared" si="3"/>
        <v>3</v>
      </c>
      <c r="L14">
        <f>SUMIFS(Stats!I:I,Stats!F:F,A14)+SUMIFS(Stats!J:J,Stats!H:H,A14)</f>
        <v>364</v>
      </c>
      <c r="M14">
        <f t="shared" si="4"/>
        <v>21.411764705882351</v>
      </c>
      <c r="N14">
        <f>SUMIFS(Stats!I:I,Stats!H:H,A14)+SUMIFS(Stats!J:J,Stats!F:F,A14)</f>
        <v>335</v>
      </c>
      <c r="O14">
        <f t="shared" si="5"/>
        <v>19.705882352941178</v>
      </c>
      <c r="P14" s="15">
        <f t="shared" si="6"/>
        <v>29</v>
      </c>
      <c r="Q14">
        <f t="shared" si="7"/>
        <v>1.7058823529411764</v>
      </c>
      <c r="R14" s="15">
        <f>SUMIFS(Stats!K:K,Stats!F:F,A14)+SUMIFS(Stats!M:M,Stats!H:H,A14)</f>
        <v>5177</v>
      </c>
      <c r="S14" s="15">
        <f>SUMIFS(Stats!K:K,Stats!H:H,A14)+SUMIFS(Stats!M:M,Stats!F:F,A14)</f>
        <v>5410</v>
      </c>
      <c r="T14" s="15">
        <f t="shared" si="8"/>
        <v>304.52941176470586</v>
      </c>
      <c r="U14" s="15">
        <f t="shared" si="9"/>
        <v>318.23529411764707</v>
      </c>
      <c r="V14" s="15">
        <f t="shared" si="10"/>
        <v>-233</v>
      </c>
      <c r="W14" s="15">
        <f t="shared" si="11"/>
        <v>-13.705882352941217</v>
      </c>
      <c r="X14" s="15">
        <f>SUMIFS(Stats!I:I,Stats!F:F,A14)</f>
        <v>235</v>
      </c>
      <c r="Y14" s="15">
        <f t="shared" si="12"/>
        <v>26.111111111111111</v>
      </c>
      <c r="Z14" s="15">
        <f>SUMIFS(Stats!J:J,Stats!F:F,A14)</f>
        <v>114</v>
      </c>
      <c r="AA14" s="15">
        <f t="shared" si="13"/>
        <v>12.666666666666666</v>
      </c>
      <c r="AB14" s="15">
        <f t="shared" si="14"/>
        <v>121</v>
      </c>
      <c r="AC14" s="15">
        <f t="shared" si="15"/>
        <v>13.444444444444445</v>
      </c>
      <c r="AD14" s="15">
        <f>SUMIFS(Stats!J:J,Stats!H:H,A14)</f>
        <v>129</v>
      </c>
      <c r="AE14" s="18">
        <f t="shared" si="16"/>
        <v>16.125</v>
      </c>
      <c r="AF14" s="15">
        <f>SUMIFS(Stats!I:I,Stats!H:H,A14)</f>
        <v>221</v>
      </c>
      <c r="AG14" s="18">
        <f t="shared" si="17"/>
        <v>27.625</v>
      </c>
      <c r="AH14" s="15">
        <f t="shared" si="18"/>
        <v>-92</v>
      </c>
      <c r="AI14" s="18">
        <f t="shared" si="19"/>
        <v>-11.5</v>
      </c>
      <c r="AJ14" s="15">
        <f>_xlfn.MINIFS(Stats!O:O,Stats!F:F,A14)</f>
        <v>3</v>
      </c>
      <c r="AK14" s="15">
        <f>-_xlfn.MINIFS(Stats!O:O,Stats!H:H,A14)</f>
        <v>-2</v>
      </c>
      <c r="AL14" s="15">
        <f>_xlfn.MAXIFS(Stats!O:O,Stats!F:F,A14)</f>
        <v>35</v>
      </c>
      <c r="AM14" s="15">
        <f>-_xlfn.MAXIFS(Stats!O:O,Stats!H:H,A14)</f>
        <v>-25</v>
      </c>
      <c r="AN14" s="15">
        <f>_xlfn.MAXIFS(Stats!I:I,Stats!F:F,A14)</f>
        <v>38</v>
      </c>
      <c r="AO14" s="15">
        <f>IF(_xlfn.MINIFS(Stats!I:I,Stats!F:F,A14)&lt;_xlfn.MINIFS(Stats!J:J,Stats!H:H,A14),_xlfn.MINIFS(Stats!I:I,Stats!F:F,A14),_xlfn.MINIFS(Stats!J:J,Stats!H:H,A14))</f>
        <v>3</v>
      </c>
      <c r="AP14" s="15">
        <f>IF(_xlfn.MAXIFS(Stats!K:K,Stats!F:F,A14)&gt;_xlfn.MAXIFS(Stats!M:M,Stats!H:H,A14),_xlfn.MAXIFS(Stats!K:K,Stats!F:F,A14),_xlfn.MAXIFS(Stats!M:M,Stats!H:H,A14))</f>
        <v>405</v>
      </c>
      <c r="AQ14" s="15">
        <f>IF(_xlfn.MINIFS(Stats!M:M,Stats!H:H,A14)&lt;_xlfn.MINIFS(Stats!K:K,Stats!F:F,A14),_xlfn.MINIFS(Stats!M:M,Stats!H:H,A14),_xlfn.MINIFS(Stats!K:K,Stats!F:F,A14))</f>
        <v>128</v>
      </c>
      <c r="AR14" s="15">
        <f>SUMIFS(Stats!K:K,Stats!F:F,A14)/F14</f>
        <v>312.55555555555554</v>
      </c>
      <c r="AS14" s="15">
        <f>SUMIFS(Stats!M:M,Stats!F:F,A14)/F14</f>
        <v>281.66666666666669</v>
      </c>
      <c r="AT14" s="15">
        <f t="shared" si="20"/>
        <v>30.888888888888857</v>
      </c>
      <c r="AU14" s="15">
        <f>SUMIFS(Stats!M:M,Stats!H:H,A14)/G14</f>
        <v>295.5</v>
      </c>
      <c r="AV14" s="15">
        <f>SUMIFS(Stats!K:K,Stats!H:H,A14)/G14</f>
        <v>359.375</v>
      </c>
      <c r="AW14" s="15">
        <f t="shared" si="21"/>
        <v>-63.875</v>
      </c>
      <c r="AX14" s="15">
        <f>(SUMIFS(Stats!I:I,Stats!E:E,"H",Stats!F:F,A14)+SUMIFS(Stats!J:J,Stats!H:H,A14,Stats!G:G,"H"))/(H14+I14)</f>
        <v>20.5</v>
      </c>
      <c r="AY14" s="15">
        <f>(SUMIFS(Stats!K:K,Stats!F:F,A14,Stats!E:E,"H")+SUMIFS(Stats!M:M,Stats!G:G,"H",Stats!H:H,A14))/(H14+I14)</f>
        <v>312.875</v>
      </c>
      <c r="AZ14" s="15">
        <f>(SUMIFS(Stats!I:I,Stats!E:E,"V",Stats!F:F,A14)+SUMIFS(Stats!J:J,Stats!H:H,A14,Stats!G:G,"V"))/(J14+K14)</f>
        <v>22.222222222222221</v>
      </c>
      <c r="BA14" s="15">
        <f>(SUMIFS(Stats!K:K,Stats!F:F,A14,Stats!E:E,"V")+SUMIFS(Stats!M:M,Stats!G:G,"V",Stats!H:H,A14))/(J14+K14)</f>
        <v>297.11111111111109</v>
      </c>
    </row>
    <row r="15" spans="1:71">
      <c r="A15" t="s">
        <v>46</v>
      </c>
      <c r="B15">
        <f t="shared" si="0"/>
        <v>0</v>
      </c>
      <c r="C15">
        <f t="shared" si="1"/>
        <v>0</v>
      </c>
      <c r="D15" t="s">
        <v>126</v>
      </c>
      <c r="E15" t="s">
        <v>125</v>
      </c>
      <c r="F15">
        <f>COUNTIF(Stats!F:F,A15)</f>
        <v>9</v>
      </c>
      <c r="G15">
        <f>COUNTIF(Stats!H:H,A15)</f>
        <v>8</v>
      </c>
      <c r="H15">
        <f>COUNTIFS(Stats!F:F,A15,Stats!E:E,"H")</f>
        <v>6</v>
      </c>
      <c r="I15">
        <f>COUNTIFS(Stats!H:H,A15,Stats!G:G,"H")</f>
        <v>3</v>
      </c>
      <c r="J15">
        <f t="shared" si="2"/>
        <v>3</v>
      </c>
      <c r="K15">
        <f t="shared" si="3"/>
        <v>5</v>
      </c>
      <c r="L15">
        <f>SUMIFS(Stats!I:I,Stats!F:F,A15)+SUMIFS(Stats!J:J,Stats!H:H,A15)</f>
        <v>341</v>
      </c>
      <c r="M15">
        <f t="shared" si="4"/>
        <v>20.058823529411764</v>
      </c>
      <c r="N15">
        <f>SUMIFS(Stats!I:I,Stats!H:H,A15)+SUMIFS(Stats!J:J,Stats!F:F,A15)</f>
        <v>373</v>
      </c>
      <c r="O15">
        <f t="shared" si="5"/>
        <v>21.941176470588236</v>
      </c>
      <c r="P15" s="15">
        <f t="shared" si="6"/>
        <v>-32</v>
      </c>
      <c r="Q15">
        <f t="shared" si="7"/>
        <v>-1.8823529411764706</v>
      </c>
      <c r="R15" s="15">
        <f>SUMIFS(Stats!K:K,Stats!F:F,A15)+SUMIFS(Stats!M:M,Stats!H:H,A15)</f>
        <v>5226</v>
      </c>
      <c r="S15" s="15">
        <f>SUMIFS(Stats!K:K,Stats!H:H,A15)+SUMIFS(Stats!M:M,Stats!F:F,A15)</f>
        <v>5738</v>
      </c>
      <c r="T15" s="15">
        <f t="shared" si="8"/>
        <v>307.41176470588238</v>
      </c>
      <c r="U15" s="15">
        <f t="shared" si="9"/>
        <v>337.52941176470586</v>
      </c>
      <c r="V15" s="15">
        <f t="shared" si="10"/>
        <v>-512</v>
      </c>
      <c r="W15" s="15">
        <f t="shared" si="11"/>
        <v>-30.117647058823479</v>
      </c>
      <c r="X15" s="15">
        <f>SUMIFS(Stats!I:I,Stats!F:F,A15)</f>
        <v>217</v>
      </c>
      <c r="Y15" s="15">
        <f t="shared" si="12"/>
        <v>24.111111111111111</v>
      </c>
      <c r="Z15" s="15">
        <f>SUMIFS(Stats!J:J,Stats!F:F,A15)</f>
        <v>122</v>
      </c>
      <c r="AA15" s="15">
        <f t="shared" si="13"/>
        <v>13.555555555555555</v>
      </c>
      <c r="AB15" s="15">
        <f t="shared" si="14"/>
        <v>95</v>
      </c>
      <c r="AC15" s="15">
        <f t="shared" si="15"/>
        <v>10.555555555555555</v>
      </c>
      <c r="AD15" s="15">
        <f>SUMIFS(Stats!J:J,Stats!H:H,A15)</f>
        <v>124</v>
      </c>
      <c r="AE15" s="18">
        <f t="shared" si="16"/>
        <v>15.5</v>
      </c>
      <c r="AF15" s="15">
        <f>SUMIFS(Stats!I:I,Stats!H:H,A15)</f>
        <v>251</v>
      </c>
      <c r="AG15" s="18">
        <f t="shared" si="17"/>
        <v>31.375</v>
      </c>
      <c r="AH15" s="15">
        <f t="shared" si="18"/>
        <v>-127</v>
      </c>
      <c r="AI15" s="18">
        <f t="shared" si="19"/>
        <v>-15.875</v>
      </c>
      <c r="AJ15" s="15">
        <f>_xlfn.MINIFS(Stats!O:O,Stats!F:F,A15)</f>
        <v>1</v>
      </c>
      <c r="AK15" s="15">
        <f>-_xlfn.MINIFS(Stats!O:O,Stats!H:H,A15)</f>
        <v>-2</v>
      </c>
      <c r="AL15" s="15">
        <f>_xlfn.MAXIFS(Stats!O:O,Stats!F:F,A15)</f>
        <v>23</v>
      </c>
      <c r="AM15" s="15">
        <f>-_xlfn.MAXIFS(Stats!O:O,Stats!H:H,A15)</f>
        <v>-35</v>
      </c>
      <c r="AN15" s="15">
        <f>_xlfn.MAXIFS(Stats!I:I,Stats!F:F,A15)</f>
        <v>33</v>
      </c>
      <c r="AO15" s="15">
        <f>IF(_xlfn.MINIFS(Stats!I:I,Stats!F:F,A15)&lt;_xlfn.MINIFS(Stats!J:J,Stats!H:H,A15),_xlfn.MINIFS(Stats!I:I,Stats!F:F,A15),_xlfn.MINIFS(Stats!J:J,Stats!H:H,A15))</f>
        <v>0</v>
      </c>
      <c r="AP15" s="15">
        <f>IF(_xlfn.MAXIFS(Stats!K:K,Stats!F:F,A15)&gt;_xlfn.MAXIFS(Stats!M:M,Stats!H:H,A15),_xlfn.MAXIFS(Stats!K:K,Stats!F:F,A15),_xlfn.MAXIFS(Stats!M:M,Stats!H:H,A15))</f>
        <v>431</v>
      </c>
      <c r="AQ15" s="15">
        <f>IF(_xlfn.MINIFS(Stats!M:M,Stats!H:H,A15)&lt;_xlfn.MINIFS(Stats!K:K,Stats!F:F,A15),_xlfn.MINIFS(Stats!M:M,Stats!H:H,A15),_xlfn.MINIFS(Stats!K:K,Stats!F:F,A15))</f>
        <v>203</v>
      </c>
      <c r="AR15" s="15">
        <f>SUMIFS(Stats!K:K,Stats!F:F,A15)/F15</f>
        <v>311.88888888888891</v>
      </c>
      <c r="AS15" s="15">
        <f>SUMIFS(Stats!M:M,Stats!F:F,A15)/F15</f>
        <v>285.33333333333331</v>
      </c>
      <c r="AT15" s="15">
        <f t="shared" si="20"/>
        <v>26.5555555555556</v>
      </c>
      <c r="AU15" s="15">
        <f>SUMIFS(Stats!M:M,Stats!H:H,A15)/G15</f>
        <v>302.375</v>
      </c>
      <c r="AV15" s="15">
        <f>SUMIFS(Stats!K:K,Stats!H:H,A15)/G15</f>
        <v>396.25</v>
      </c>
      <c r="AW15" s="15">
        <f t="shared" si="21"/>
        <v>-93.875</v>
      </c>
      <c r="AX15" s="15">
        <f>(SUMIFS(Stats!I:I,Stats!E:E,"H",Stats!F:F,A15)+SUMIFS(Stats!J:J,Stats!H:H,A15,Stats!G:G,"H"))/(H15+I15)</f>
        <v>22.333333333333332</v>
      </c>
      <c r="AY15" s="15">
        <f>(SUMIFS(Stats!K:K,Stats!F:F,A15,Stats!E:E,"H")+SUMIFS(Stats!M:M,Stats!G:G,"H",Stats!H:H,A15))/(H15+I15)</f>
        <v>304.44444444444446</v>
      </c>
      <c r="AZ15" s="15">
        <f>(SUMIFS(Stats!I:I,Stats!E:E,"V",Stats!F:F,A15)+SUMIFS(Stats!J:J,Stats!H:H,A15,Stats!G:G,"V"))/(J15+K15)</f>
        <v>17.5</v>
      </c>
      <c r="BA15" s="15">
        <f>(SUMIFS(Stats!K:K,Stats!F:F,A15,Stats!E:E,"V")+SUMIFS(Stats!M:M,Stats!G:G,"V",Stats!H:H,A15))/(J15+K15)</f>
        <v>310.75</v>
      </c>
    </row>
    <row r="16" spans="1:71">
      <c r="A16" t="s">
        <v>48</v>
      </c>
      <c r="B16">
        <f t="shared" si="0"/>
        <v>2</v>
      </c>
      <c r="C16">
        <f t="shared" si="1"/>
        <v>1</v>
      </c>
      <c r="D16" t="s">
        <v>123</v>
      </c>
      <c r="E16" t="s">
        <v>128</v>
      </c>
      <c r="F16">
        <f>COUNTIF(Stats!F:F,A16)</f>
        <v>16</v>
      </c>
      <c r="G16">
        <f>COUNTIF(Stats!H:H,A16)</f>
        <v>5</v>
      </c>
      <c r="H16">
        <f>COUNTIFS(Stats!F:F,A16,Stats!E:E,"H")</f>
        <v>8</v>
      </c>
      <c r="I16">
        <f>COUNTIFS(Stats!H:H,A16,Stats!G:G,"H")</f>
        <v>3</v>
      </c>
      <c r="J16">
        <f t="shared" si="2"/>
        <v>8</v>
      </c>
      <c r="K16">
        <f t="shared" si="3"/>
        <v>2</v>
      </c>
      <c r="L16">
        <f>SUMIFS(Stats!I:I,Stats!F:F,A16)+SUMIFS(Stats!J:J,Stats!H:H,A16)</f>
        <v>567</v>
      </c>
      <c r="M16">
        <f t="shared" si="4"/>
        <v>27</v>
      </c>
      <c r="N16">
        <f>SUMIFS(Stats!I:I,Stats!H:H,A16)+SUMIFS(Stats!J:J,Stats!F:F,A16)</f>
        <v>447</v>
      </c>
      <c r="O16">
        <f t="shared" si="5"/>
        <v>21.285714285714285</v>
      </c>
      <c r="P16" s="15">
        <f t="shared" si="6"/>
        <v>120</v>
      </c>
      <c r="Q16">
        <f t="shared" si="7"/>
        <v>5.7142857142857144</v>
      </c>
      <c r="R16" s="15">
        <f>SUMIFS(Stats!K:K,Stats!F:F,A16)+SUMIFS(Stats!M:M,Stats!H:H,A16)</f>
        <v>7837</v>
      </c>
      <c r="S16" s="15">
        <f>SUMIFS(Stats!K:K,Stats!H:H,A16)+SUMIFS(Stats!M:M,Stats!F:F,A16)</f>
        <v>6992</v>
      </c>
      <c r="T16" s="15">
        <f t="shared" si="8"/>
        <v>373.1904761904762</v>
      </c>
      <c r="U16" s="15">
        <f t="shared" si="9"/>
        <v>332.95238095238096</v>
      </c>
      <c r="V16" s="15">
        <f t="shared" si="10"/>
        <v>845</v>
      </c>
      <c r="W16" s="15">
        <f t="shared" si="11"/>
        <v>40.238095238095241</v>
      </c>
      <c r="X16" s="15">
        <f>SUMIFS(Stats!I:I,Stats!F:F,A16)</f>
        <v>469</v>
      </c>
      <c r="Y16" s="15">
        <f t="shared" si="12"/>
        <v>29.3125</v>
      </c>
      <c r="Z16" s="15">
        <f>SUMIFS(Stats!J:J,Stats!F:F,A16)</f>
        <v>288</v>
      </c>
      <c r="AA16" s="15">
        <f t="shared" si="13"/>
        <v>18</v>
      </c>
      <c r="AB16" s="15">
        <f t="shared" si="14"/>
        <v>181</v>
      </c>
      <c r="AC16" s="15">
        <f t="shared" si="15"/>
        <v>11.3125</v>
      </c>
      <c r="AD16" s="15">
        <f>SUMIFS(Stats!J:J,Stats!H:H,A16)</f>
        <v>98</v>
      </c>
      <c r="AE16" s="18">
        <f t="shared" si="16"/>
        <v>19.600000000000001</v>
      </c>
      <c r="AF16" s="15">
        <f>SUMIFS(Stats!I:I,Stats!H:H,A16)</f>
        <v>159</v>
      </c>
      <c r="AG16" s="18">
        <f t="shared" si="17"/>
        <v>31.8</v>
      </c>
      <c r="AH16" s="15">
        <f t="shared" si="18"/>
        <v>-61</v>
      </c>
      <c r="AI16" s="18">
        <f t="shared" si="19"/>
        <v>-12.2</v>
      </c>
      <c r="AJ16" s="15">
        <f>_xlfn.MINIFS(Stats!O:O,Stats!F:F,A16)</f>
        <v>1</v>
      </c>
      <c r="AK16" s="15">
        <f>-_xlfn.MINIFS(Stats!O:O,Stats!H:H,A16)</f>
        <v>-3</v>
      </c>
      <c r="AL16" s="15">
        <f>_xlfn.MAXIFS(Stats!O:O,Stats!F:F,A16)</f>
        <v>30</v>
      </c>
      <c r="AM16" s="15">
        <f>-_xlfn.MAXIFS(Stats!O:O,Stats!H:H,A16)</f>
        <v>-21</v>
      </c>
      <c r="AN16" s="15">
        <f>_xlfn.MAXIFS(Stats!I:I,Stats!F:F,A16)</f>
        <v>38</v>
      </c>
      <c r="AO16" s="15">
        <f>IF(_xlfn.MINIFS(Stats!I:I,Stats!F:F,A16)&lt;_xlfn.MINIFS(Stats!J:J,Stats!H:H,A16),_xlfn.MINIFS(Stats!I:I,Stats!F:F,A16),_xlfn.MINIFS(Stats!J:J,Stats!H:H,A16))</f>
        <v>10</v>
      </c>
      <c r="AP16" s="15">
        <f>IF(_xlfn.MAXIFS(Stats!K:K,Stats!F:F,A16)&gt;_xlfn.MAXIFS(Stats!M:M,Stats!H:H,A16),_xlfn.MAXIFS(Stats!K:K,Stats!F:F,A16),_xlfn.MAXIFS(Stats!M:M,Stats!H:H,A16))</f>
        <v>476</v>
      </c>
      <c r="AQ16" s="15">
        <f>IF(_xlfn.MINIFS(Stats!M:M,Stats!H:H,A16)&lt;_xlfn.MINIFS(Stats!K:K,Stats!F:F,A16),_xlfn.MINIFS(Stats!M:M,Stats!H:H,A16),_xlfn.MINIFS(Stats!K:K,Stats!F:F,A16))</f>
        <v>265</v>
      </c>
      <c r="AR16" s="15">
        <f>SUMIFS(Stats!K:K,Stats!F:F,A16)/F16</f>
        <v>387.0625</v>
      </c>
      <c r="AS16" s="15">
        <f>SUMIFS(Stats!M:M,Stats!F:F,A16)/F16</f>
        <v>321.875</v>
      </c>
      <c r="AT16" s="15">
        <f t="shared" si="20"/>
        <v>65.1875</v>
      </c>
      <c r="AU16" s="15">
        <f>SUMIFS(Stats!M:M,Stats!H:H,A16)/G16</f>
        <v>328.8</v>
      </c>
      <c r="AV16" s="15">
        <f>SUMIFS(Stats!K:K,Stats!H:H,A16)/G16</f>
        <v>368.4</v>
      </c>
      <c r="AW16" s="15">
        <f t="shared" si="21"/>
        <v>-39.599999999999966</v>
      </c>
      <c r="AX16" s="15">
        <f>(SUMIFS(Stats!I:I,Stats!E:E,"H",Stats!F:F,A16)+SUMIFS(Stats!J:J,Stats!H:H,A16,Stats!G:G,"H"))/(H16+I16)</f>
        <v>26.363636363636363</v>
      </c>
      <c r="AY16" s="15">
        <f>(SUMIFS(Stats!K:K,Stats!F:F,A16,Stats!E:E,"H")+SUMIFS(Stats!M:M,Stats!G:G,"H",Stats!H:H,A16))/(H16+I16)</f>
        <v>364.90909090909093</v>
      </c>
      <c r="AZ16" s="15">
        <f>(SUMIFS(Stats!I:I,Stats!E:E,"V",Stats!F:F,A16)+SUMIFS(Stats!J:J,Stats!H:H,A16,Stats!G:G,"V"))/(J16+K16)</f>
        <v>27.7</v>
      </c>
      <c r="BA16" s="15">
        <f>(SUMIFS(Stats!K:K,Stats!F:F,A16,Stats!E:E,"V")+SUMIFS(Stats!M:M,Stats!G:G,"V",Stats!H:H,A16))/(J16+K16)</f>
        <v>382.3</v>
      </c>
    </row>
    <row r="17" spans="1:53">
      <c r="A17" t="s">
        <v>52</v>
      </c>
      <c r="B17">
        <f t="shared" si="0"/>
        <v>0</v>
      </c>
      <c r="C17">
        <f t="shared" si="1"/>
        <v>0</v>
      </c>
      <c r="D17" t="s">
        <v>126</v>
      </c>
      <c r="E17" t="s">
        <v>128</v>
      </c>
      <c r="F17">
        <f>COUNTIF(Stats!F:F,A17)</f>
        <v>10</v>
      </c>
      <c r="G17">
        <f>COUNTIF(Stats!H:H,A17)</f>
        <v>8</v>
      </c>
      <c r="H17">
        <f>COUNTIFS(Stats!F:F,A17,Stats!E:E,"H")</f>
        <v>5</v>
      </c>
      <c r="I17">
        <f>COUNTIFS(Stats!H:H,A17,Stats!G:G,"H")</f>
        <v>4</v>
      </c>
      <c r="J17">
        <f t="shared" si="2"/>
        <v>5</v>
      </c>
      <c r="K17">
        <f t="shared" si="3"/>
        <v>4</v>
      </c>
      <c r="L17">
        <f>SUMIFS(Stats!I:I,Stats!F:F,A17)+SUMIFS(Stats!J:J,Stats!H:H,A17)</f>
        <v>393</v>
      </c>
      <c r="M17">
        <f t="shared" si="4"/>
        <v>21.833333333333332</v>
      </c>
      <c r="N17">
        <f>SUMIFS(Stats!I:I,Stats!H:H,A17)+SUMIFS(Stats!J:J,Stats!F:F,A17)</f>
        <v>465</v>
      </c>
      <c r="O17">
        <f t="shared" si="5"/>
        <v>25.833333333333332</v>
      </c>
      <c r="P17" s="15">
        <f t="shared" si="6"/>
        <v>-72</v>
      </c>
      <c r="Q17">
        <f t="shared" si="7"/>
        <v>-4</v>
      </c>
      <c r="R17" s="15">
        <f>SUMIFS(Stats!K:K,Stats!F:F,A17)+SUMIFS(Stats!M:M,Stats!H:H,A17)</f>
        <v>6569</v>
      </c>
      <c r="S17" s="15">
        <f>SUMIFS(Stats!K:K,Stats!H:H,A17)+SUMIFS(Stats!M:M,Stats!F:F,A17)</f>
        <v>6040</v>
      </c>
      <c r="T17" s="15">
        <f t="shared" si="8"/>
        <v>364.94444444444446</v>
      </c>
      <c r="U17" s="15">
        <f t="shared" si="9"/>
        <v>335.55555555555554</v>
      </c>
      <c r="V17" s="15">
        <f t="shared" si="10"/>
        <v>529</v>
      </c>
      <c r="W17" s="15">
        <f t="shared" si="11"/>
        <v>29.388888888888914</v>
      </c>
      <c r="X17" s="15">
        <f>SUMIFS(Stats!I:I,Stats!F:F,A17)</f>
        <v>284</v>
      </c>
      <c r="Y17" s="15">
        <f t="shared" si="12"/>
        <v>28.4</v>
      </c>
      <c r="Z17" s="15">
        <f>SUMIFS(Stats!J:J,Stats!F:F,A17)</f>
        <v>230</v>
      </c>
      <c r="AA17" s="15">
        <f t="shared" si="13"/>
        <v>23</v>
      </c>
      <c r="AB17" s="15">
        <f t="shared" si="14"/>
        <v>54</v>
      </c>
      <c r="AC17" s="15">
        <f t="shared" si="15"/>
        <v>5.3999999999999986</v>
      </c>
      <c r="AD17" s="15">
        <f>SUMIFS(Stats!J:J,Stats!H:H,A17)</f>
        <v>109</v>
      </c>
      <c r="AE17" s="18">
        <f t="shared" si="16"/>
        <v>13.625</v>
      </c>
      <c r="AF17" s="15">
        <f>SUMIFS(Stats!I:I,Stats!H:H,A17)</f>
        <v>235</v>
      </c>
      <c r="AG17" s="18">
        <f t="shared" si="17"/>
        <v>29.375</v>
      </c>
      <c r="AH17" s="15">
        <f t="shared" si="18"/>
        <v>-126</v>
      </c>
      <c r="AI17" s="18">
        <f t="shared" si="19"/>
        <v>-15.75</v>
      </c>
      <c r="AJ17" s="15">
        <f>_xlfn.MINIFS(Stats!O:O,Stats!F:F,A17)</f>
        <v>2</v>
      </c>
      <c r="AK17" s="15">
        <f>-_xlfn.MINIFS(Stats!O:O,Stats!H:H,A17)</f>
        <v>-2</v>
      </c>
      <c r="AL17" s="15">
        <f>_xlfn.MAXIFS(Stats!O:O,Stats!F:F,A17)</f>
        <v>11</v>
      </c>
      <c r="AM17" s="15">
        <f>-_xlfn.MAXIFS(Stats!O:O,Stats!H:H,A17)</f>
        <v>-39</v>
      </c>
      <c r="AN17" s="15">
        <f>_xlfn.MAXIFS(Stats!I:I,Stats!F:F,A17)</f>
        <v>36</v>
      </c>
      <c r="AO17" s="15">
        <f>IF(_xlfn.MINIFS(Stats!I:I,Stats!F:F,A17)&lt;_xlfn.MINIFS(Stats!J:J,Stats!H:H,A17),_xlfn.MINIFS(Stats!I:I,Stats!F:F,A17),_xlfn.MINIFS(Stats!J:J,Stats!H:H,A17))</f>
        <v>9</v>
      </c>
      <c r="AP17" s="15">
        <f>IF(_xlfn.MAXIFS(Stats!K:K,Stats!F:F,A17)&gt;_xlfn.MAXIFS(Stats!M:M,Stats!H:H,A17),_xlfn.MAXIFS(Stats!K:K,Stats!F:F,A17),_xlfn.MAXIFS(Stats!M:M,Stats!H:H,A17))</f>
        <v>509</v>
      </c>
      <c r="AQ17" s="15">
        <f>IF(_xlfn.MINIFS(Stats!M:M,Stats!H:H,A17)&lt;_xlfn.MINIFS(Stats!K:K,Stats!F:F,A17),_xlfn.MINIFS(Stats!M:M,Stats!H:H,A17),_xlfn.MINIFS(Stats!K:K,Stats!F:F,A17))</f>
        <v>213</v>
      </c>
      <c r="AR17" s="15">
        <f>SUMIFS(Stats!K:K,Stats!F:F,A17)/F17</f>
        <v>413.2</v>
      </c>
      <c r="AS17" s="15">
        <f>SUMIFS(Stats!M:M,Stats!F:F,A17)/F17</f>
        <v>337.9</v>
      </c>
      <c r="AT17" s="15">
        <f t="shared" si="20"/>
        <v>75.300000000000011</v>
      </c>
      <c r="AU17" s="15">
        <f>SUMIFS(Stats!M:M,Stats!H:H,A17)/G17</f>
        <v>304.625</v>
      </c>
      <c r="AV17" s="15">
        <f>SUMIFS(Stats!K:K,Stats!H:H,A17)/G17</f>
        <v>332.625</v>
      </c>
      <c r="AW17" s="15">
        <f t="shared" si="21"/>
        <v>-28</v>
      </c>
      <c r="AX17" s="15">
        <f>(SUMIFS(Stats!I:I,Stats!E:E,"H",Stats!F:F,A17)+SUMIFS(Stats!J:J,Stats!H:H,A17,Stats!G:G,"H"))/(H17+I17)</f>
        <v>22.222222222222221</v>
      </c>
      <c r="AY17" s="15">
        <f>(SUMIFS(Stats!K:K,Stats!F:F,A17,Stats!E:E,"H")+SUMIFS(Stats!M:M,Stats!G:G,"H",Stats!H:H,A17))/(H17+I17)</f>
        <v>362.66666666666669</v>
      </c>
      <c r="AZ17" s="15">
        <f>(SUMIFS(Stats!I:I,Stats!E:E,"V",Stats!F:F,A17)+SUMIFS(Stats!J:J,Stats!H:H,A17,Stats!G:G,"V"))/(J17+K17)</f>
        <v>21.444444444444443</v>
      </c>
      <c r="BA17" s="15">
        <f>(SUMIFS(Stats!K:K,Stats!F:F,A17,Stats!E:E,"V")+SUMIFS(Stats!M:M,Stats!G:G,"V",Stats!H:H,A17))/(J17+K17)</f>
        <v>367.22222222222223</v>
      </c>
    </row>
    <row r="18" spans="1:53">
      <c r="A18" t="s">
        <v>38</v>
      </c>
      <c r="B18">
        <f t="shared" si="0"/>
        <v>1</v>
      </c>
      <c r="C18">
        <f t="shared" si="1"/>
        <v>0</v>
      </c>
      <c r="D18" t="s">
        <v>123</v>
      </c>
      <c r="E18" t="s">
        <v>125</v>
      </c>
      <c r="F18">
        <f>COUNTIF(Stats!F:F,A18)</f>
        <v>7</v>
      </c>
      <c r="G18">
        <f>COUNTIF(Stats!H:H,A18)</f>
        <v>10</v>
      </c>
      <c r="H18">
        <f>COUNTIFS(Stats!F:F,A18,Stats!E:E,"H")</f>
        <v>3</v>
      </c>
      <c r="I18">
        <f>COUNTIFS(Stats!H:H,A18,Stats!G:G,"H")</f>
        <v>5</v>
      </c>
      <c r="J18">
        <f t="shared" si="2"/>
        <v>4</v>
      </c>
      <c r="K18">
        <f t="shared" si="3"/>
        <v>5</v>
      </c>
      <c r="L18">
        <f>SUMIFS(Stats!I:I,Stats!F:F,A18)+SUMIFS(Stats!J:J,Stats!H:H,A18)</f>
        <v>335</v>
      </c>
      <c r="M18">
        <f t="shared" si="4"/>
        <v>19.705882352941178</v>
      </c>
      <c r="N18">
        <f>SUMIFS(Stats!I:I,Stats!H:H,A18)+SUMIFS(Stats!J:J,Stats!F:F,A18)</f>
        <v>434</v>
      </c>
      <c r="O18">
        <f t="shared" si="5"/>
        <v>25.529411764705884</v>
      </c>
      <c r="P18" s="15">
        <f t="shared" si="6"/>
        <v>-99</v>
      </c>
      <c r="Q18">
        <f t="shared" si="7"/>
        <v>-5.8235294117647056</v>
      </c>
      <c r="R18" s="15">
        <f>SUMIFS(Stats!K:K,Stats!F:F,A18)+SUMIFS(Stats!M:M,Stats!H:H,A18)</f>
        <v>5502</v>
      </c>
      <c r="S18" s="15">
        <f>SUMIFS(Stats!K:K,Stats!H:H,A18)+SUMIFS(Stats!M:M,Stats!F:F,A18)</f>
        <v>6108</v>
      </c>
      <c r="T18" s="15">
        <f t="shared" si="8"/>
        <v>323.64705882352939</v>
      </c>
      <c r="U18" s="15">
        <f t="shared" si="9"/>
        <v>359.29411764705884</v>
      </c>
      <c r="V18" s="15">
        <f t="shared" si="10"/>
        <v>-606</v>
      </c>
      <c r="W18" s="15">
        <f t="shared" si="11"/>
        <v>-35.647058823529449</v>
      </c>
      <c r="X18" s="15">
        <f>SUMIFS(Stats!I:I,Stats!F:F,A18)</f>
        <v>176</v>
      </c>
      <c r="Y18" s="15">
        <f t="shared" si="12"/>
        <v>25.142857142857142</v>
      </c>
      <c r="Z18" s="15">
        <f>SUMIFS(Stats!J:J,Stats!F:F,A18)</f>
        <v>136</v>
      </c>
      <c r="AA18" s="15">
        <f t="shared" si="13"/>
        <v>19.428571428571427</v>
      </c>
      <c r="AB18" s="15">
        <f t="shared" si="14"/>
        <v>40</v>
      </c>
      <c r="AC18" s="15">
        <f t="shared" si="15"/>
        <v>5.7142857142857153</v>
      </c>
      <c r="AD18" s="15">
        <f>SUMIFS(Stats!J:J,Stats!H:H,A18)</f>
        <v>159</v>
      </c>
      <c r="AE18" s="18">
        <f t="shared" si="16"/>
        <v>15.9</v>
      </c>
      <c r="AF18" s="15">
        <f>SUMIFS(Stats!I:I,Stats!H:H,A18)</f>
        <v>298</v>
      </c>
      <c r="AG18" s="18">
        <f t="shared" si="17"/>
        <v>29.8</v>
      </c>
      <c r="AH18" s="15">
        <f t="shared" si="18"/>
        <v>-139</v>
      </c>
      <c r="AI18" s="18">
        <f t="shared" si="19"/>
        <v>-13.9</v>
      </c>
      <c r="AJ18" s="15">
        <f>_xlfn.MINIFS(Stats!O:O,Stats!F:F,A18)</f>
        <v>1</v>
      </c>
      <c r="AK18" s="15">
        <f>-_xlfn.MINIFS(Stats!O:O,Stats!H:H,A18)</f>
        <v>-4</v>
      </c>
      <c r="AL18" s="15">
        <f>_xlfn.MAXIFS(Stats!O:O,Stats!F:F,A18)</f>
        <v>15</v>
      </c>
      <c r="AM18" s="15">
        <f>-_xlfn.MAXIFS(Stats!O:O,Stats!H:H,A18)</f>
        <v>-42</v>
      </c>
      <c r="AN18" s="15">
        <f>_xlfn.MAXIFS(Stats!I:I,Stats!F:F,A18)</f>
        <v>34</v>
      </c>
      <c r="AO18" s="15">
        <f>IF(_xlfn.MINIFS(Stats!I:I,Stats!F:F,A18)&lt;_xlfn.MINIFS(Stats!J:J,Stats!H:H,A18),_xlfn.MINIFS(Stats!I:I,Stats!F:F,A18),_xlfn.MINIFS(Stats!J:J,Stats!H:H,A18))</f>
        <v>10</v>
      </c>
      <c r="AP18" s="15">
        <f>IF(_xlfn.MAXIFS(Stats!K:K,Stats!F:F,A18)&gt;_xlfn.MAXIFS(Stats!M:M,Stats!H:H,A18),_xlfn.MAXIFS(Stats!K:K,Stats!F:F,A18),_xlfn.MAXIFS(Stats!M:M,Stats!H:H,A18))</f>
        <v>430</v>
      </c>
      <c r="AQ18" s="15">
        <f>IF(_xlfn.MINIFS(Stats!M:M,Stats!H:H,A18)&lt;_xlfn.MINIFS(Stats!K:K,Stats!F:F,A18),_xlfn.MINIFS(Stats!M:M,Stats!H:H,A18),_xlfn.MINIFS(Stats!K:K,Stats!F:F,A18))</f>
        <v>224</v>
      </c>
      <c r="AR18" s="15">
        <f>SUMIFS(Stats!K:K,Stats!F:F,A18)/F18</f>
        <v>357.42857142857144</v>
      </c>
      <c r="AS18" s="15">
        <f>SUMIFS(Stats!M:M,Stats!F:F,A18)/F18</f>
        <v>298.42857142857144</v>
      </c>
      <c r="AT18" s="15">
        <f t="shared" si="20"/>
        <v>59</v>
      </c>
      <c r="AU18" s="15">
        <f>SUMIFS(Stats!M:M,Stats!H:H,A18)/G18</f>
        <v>300</v>
      </c>
      <c r="AV18" s="15">
        <f>SUMIFS(Stats!K:K,Stats!H:H,A18)/G18</f>
        <v>401.9</v>
      </c>
      <c r="AW18" s="15">
        <f t="shared" si="21"/>
        <v>-101.89999999999998</v>
      </c>
      <c r="AX18" s="15">
        <f>(SUMIFS(Stats!I:I,Stats!E:E,"H",Stats!F:F,A18)+SUMIFS(Stats!J:J,Stats!H:H,A18,Stats!G:G,"H"))/(H18+I18)</f>
        <v>20.375</v>
      </c>
      <c r="AY18" s="15">
        <f>(SUMIFS(Stats!K:K,Stats!F:F,A18,Stats!E:E,"H")+SUMIFS(Stats!M:M,Stats!G:G,"H",Stats!H:H,A18))/(H18+I18)</f>
        <v>317.75</v>
      </c>
      <c r="AZ18" s="15">
        <f>(SUMIFS(Stats!I:I,Stats!E:E,"V",Stats!F:F,A18)+SUMIFS(Stats!J:J,Stats!H:H,A18,Stats!G:G,"V"))/(J18+K18)</f>
        <v>19.111111111111111</v>
      </c>
      <c r="BA18" s="15">
        <f>(SUMIFS(Stats!K:K,Stats!F:F,A18,Stats!E:E,"V")+SUMIFS(Stats!M:M,Stats!G:G,"V",Stats!H:H,A18))/(J18+K18)</f>
        <v>328.88888888888891</v>
      </c>
    </row>
    <row r="19" spans="1:53">
      <c r="A19" t="s">
        <v>24</v>
      </c>
      <c r="B19">
        <f t="shared" si="0"/>
        <v>11</v>
      </c>
      <c r="C19">
        <f t="shared" si="1"/>
        <v>0</v>
      </c>
      <c r="D19" t="s">
        <v>126</v>
      </c>
      <c r="E19" t="s">
        <v>125</v>
      </c>
      <c r="F19">
        <f>COUNTIF(Stats!F:F,A19)</f>
        <v>12</v>
      </c>
      <c r="G19">
        <f>COUNTIF(Stats!H:H,A19)</f>
        <v>7</v>
      </c>
      <c r="H19">
        <f>COUNTIFS(Stats!F:F,A19,Stats!E:E,"H")</f>
        <v>7</v>
      </c>
      <c r="I19">
        <f>COUNTIFS(Stats!H:H,A19,Stats!G:G,"H")</f>
        <v>3</v>
      </c>
      <c r="J19">
        <f t="shared" si="2"/>
        <v>5</v>
      </c>
      <c r="K19">
        <f t="shared" si="3"/>
        <v>4</v>
      </c>
      <c r="L19">
        <f>SUMIFS(Stats!I:I,Stats!F:F,A19)+SUMIFS(Stats!J:J,Stats!H:H,A19)</f>
        <v>566</v>
      </c>
      <c r="M19">
        <f t="shared" si="4"/>
        <v>29.789473684210527</v>
      </c>
      <c r="N19">
        <f>SUMIFS(Stats!I:I,Stats!H:H,A19)+SUMIFS(Stats!J:J,Stats!F:F,A19)</f>
        <v>348</v>
      </c>
      <c r="O19">
        <f t="shared" si="5"/>
        <v>18.315789473684209</v>
      </c>
      <c r="P19" s="15">
        <f t="shared" si="6"/>
        <v>218</v>
      </c>
      <c r="Q19">
        <f t="shared" si="7"/>
        <v>11.473684210526315</v>
      </c>
      <c r="R19" s="15">
        <f>SUMIFS(Stats!K:K,Stats!F:F,A19)+SUMIFS(Stats!M:M,Stats!H:H,A19)</f>
        <v>7397</v>
      </c>
      <c r="S19" s="15">
        <f>SUMIFS(Stats!K:K,Stats!H:H,A19)+SUMIFS(Stats!M:M,Stats!F:F,A19)</f>
        <v>5501</v>
      </c>
      <c r="T19" s="15">
        <f t="shared" si="8"/>
        <v>389.31578947368422</v>
      </c>
      <c r="U19" s="15">
        <f t="shared" si="9"/>
        <v>289.5263157894737</v>
      </c>
      <c r="V19" s="15">
        <f t="shared" si="10"/>
        <v>1896</v>
      </c>
      <c r="W19" s="15">
        <f t="shared" si="11"/>
        <v>99.78947368421052</v>
      </c>
      <c r="X19" s="15">
        <f>SUMIFS(Stats!I:I,Stats!F:F,A19)</f>
        <v>425</v>
      </c>
      <c r="Y19" s="15">
        <f t="shared" si="12"/>
        <v>35.416666666666664</v>
      </c>
      <c r="Z19" s="15">
        <f>SUMIFS(Stats!J:J,Stats!F:F,A19)</f>
        <v>152</v>
      </c>
      <c r="AA19" s="15">
        <f t="shared" si="13"/>
        <v>12.666666666666666</v>
      </c>
      <c r="AB19" s="15">
        <f t="shared" si="14"/>
        <v>273</v>
      </c>
      <c r="AC19" s="17">
        <f t="shared" si="15"/>
        <v>22.75</v>
      </c>
      <c r="AD19" s="15">
        <f>SUMIFS(Stats!J:J,Stats!H:H,A19)</f>
        <v>141</v>
      </c>
      <c r="AE19" s="18">
        <f t="shared" si="16"/>
        <v>20.142857142857142</v>
      </c>
      <c r="AF19" s="15">
        <f>SUMIFS(Stats!I:I,Stats!H:H,A19)</f>
        <v>196</v>
      </c>
      <c r="AG19" s="18">
        <f t="shared" si="17"/>
        <v>28</v>
      </c>
      <c r="AH19" s="15">
        <f t="shared" si="18"/>
        <v>-55</v>
      </c>
      <c r="AI19" s="18">
        <f t="shared" si="19"/>
        <v>-7.8571428571428577</v>
      </c>
      <c r="AJ19" s="15">
        <f>_xlfn.MINIFS(Stats!O:O,Stats!F:F,A19)</f>
        <v>12</v>
      </c>
      <c r="AK19" s="15">
        <f>-_xlfn.MINIFS(Stats!O:O,Stats!H:H,A19)</f>
        <v>-3</v>
      </c>
      <c r="AL19" s="15">
        <f>_xlfn.MAXIFS(Stats!O:O,Stats!F:F,A19)</f>
        <v>40</v>
      </c>
      <c r="AM19" s="15">
        <f>-_xlfn.MAXIFS(Stats!O:O,Stats!H:H,A19)</f>
        <v>-26</v>
      </c>
      <c r="AN19" s="15">
        <f>_xlfn.MAXIFS(Stats!I:I,Stats!F:F,A19)</f>
        <v>47</v>
      </c>
      <c r="AO19" s="15">
        <f>IF(_xlfn.MINIFS(Stats!I:I,Stats!F:F,A19)&lt;_xlfn.MINIFS(Stats!J:J,Stats!H:H,A19),_xlfn.MINIFS(Stats!I:I,Stats!F:F,A19),_xlfn.MINIFS(Stats!J:J,Stats!H:H,A19))</f>
        <v>6</v>
      </c>
      <c r="AP19" s="15">
        <f>IF(_xlfn.MAXIFS(Stats!K:K,Stats!F:F,A19)&gt;_xlfn.MAXIFS(Stats!M:M,Stats!H:H,A19),_xlfn.MAXIFS(Stats!K:K,Stats!F:F,A19),_xlfn.MAXIFS(Stats!M:M,Stats!H:H,A19))</f>
        <v>489</v>
      </c>
      <c r="AQ19" s="15">
        <f>IF(_xlfn.MINIFS(Stats!M:M,Stats!H:H,A19)&lt;_xlfn.MINIFS(Stats!K:K,Stats!F:F,A19),_xlfn.MINIFS(Stats!M:M,Stats!H:H,A19),_xlfn.MINIFS(Stats!K:K,Stats!F:F,A19))</f>
        <v>230</v>
      </c>
      <c r="AR19" s="15">
        <f>SUMIFS(Stats!K:K,Stats!F:F,A19)/F19</f>
        <v>406.58333333333331</v>
      </c>
      <c r="AS19" s="15">
        <f>SUMIFS(Stats!M:M,Stats!F:F,A19)/F19</f>
        <v>251.5</v>
      </c>
      <c r="AT19" s="15">
        <f t="shared" si="20"/>
        <v>155.08333333333331</v>
      </c>
      <c r="AU19" s="15">
        <f>SUMIFS(Stats!M:M,Stats!H:H,A19)/G19</f>
        <v>359.71428571428572</v>
      </c>
      <c r="AV19" s="15">
        <f>SUMIFS(Stats!K:K,Stats!H:H,A19)/G19</f>
        <v>354.71428571428572</v>
      </c>
      <c r="AW19" s="15">
        <f t="shared" si="21"/>
        <v>5</v>
      </c>
      <c r="AX19" s="15">
        <f>(SUMIFS(Stats!I:I,Stats!E:E,"H",Stats!F:F,A19)+SUMIFS(Stats!J:J,Stats!H:H,A19,Stats!G:G,"H"))/(H19+I19)</f>
        <v>28.4</v>
      </c>
      <c r="AY19" s="15">
        <f>(SUMIFS(Stats!K:K,Stats!F:F,A19,Stats!E:E,"H")+SUMIFS(Stats!M:M,Stats!G:G,"H",Stats!H:H,A19))/(H19+I19)</f>
        <v>376.3</v>
      </c>
      <c r="AZ19" s="15">
        <f>(SUMIFS(Stats!I:I,Stats!E:E,"V",Stats!F:F,A19)+SUMIFS(Stats!J:J,Stats!H:H,A19,Stats!G:G,"V"))/(J19+K19)</f>
        <v>31.333333333333332</v>
      </c>
      <c r="BA19" s="15">
        <f>(SUMIFS(Stats!K:K,Stats!F:F,A19,Stats!E:E,"V")+SUMIFS(Stats!M:M,Stats!G:G,"V",Stats!H:H,A19))/(J19+K19)</f>
        <v>403.77777777777777</v>
      </c>
    </row>
    <row r="20" spans="1:53">
      <c r="A20" t="s">
        <v>49</v>
      </c>
      <c r="B20">
        <f t="shared" si="0"/>
        <v>0</v>
      </c>
      <c r="C20">
        <f t="shared" si="1"/>
        <v>2</v>
      </c>
      <c r="D20" t="s">
        <v>123</v>
      </c>
      <c r="E20" t="s">
        <v>127</v>
      </c>
      <c r="F20">
        <f>COUNTIF(Stats!F:F,A20)</f>
        <v>6</v>
      </c>
      <c r="G20">
        <f>COUNTIF(Stats!H:H,A20)</f>
        <v>11</v>
      </c>
      <c r="H20">
        <f>COUNTIFS(Stats!F:F,A20,Stats!E:E,"H")</f>
        <v>3</v>
      </c>
      <c r="I20">
        <f>COUNTIFS(Stats!H:H,A20,Stats!G:G,"H")</f>
        <v>5</v>
      </c>
      <c r="J20">
        <f t="shared" si="2"/>
        <v>3</v>
      </c>
      <c r="K20">
        <f t="shared" si="3"/>
        <v>6</v>
      </c>
      <c r="L20">
        <f>SUMIFS(Stats!I:I,Stats!F:F,A20)+SUMIFS(Stats!J:J,Stats!H:H,A20)</f>
        <v>311</v>
      </c>
      <c r="M20">
        <f t="shared" si="4"/>
        <v>18.294117647058822</v>
      </c>
      <c r="N20">
        <f>SUMIFS(Stats!I:I,Stats!H:H,A20)+SUMIFS(Stats!J:J,Stats!F:F,A20)</f>
        <v>407</v>
      </c>
      <c r="O20">
        <f t="shared" si="5"/>
        <v>23.941176470588236</v>
      </c>
      <c r="P20" s="15">
        <f t="shared" si="6"/>
        <v>-96</v>
      </c>
      <c r="Q20">
        <f t="shared" si="7"/>
        <v>-5.6470588235294121</v>
      </c>
      <c r="R20" s="15">
        <f>SUMIFS(Stats!K:K,Stats!F:F,A20)+SUMIFS(Stats!M:M,Stats!H:H,A20)</f>
        <v>5225</v>
      </c>
      <c r="S20" s="15">
        <f>SUMIFS(Stats!K:K,Stats!H:H,A20)+SUMIFS(Stats!M:M,Stats!F:F,A20)</f>
        <v>5384</v>
      </c>
      <c r="T20" s="15">
        <f t="shared" si="8"/>
        <v>307.35294117647061</v>
      </c>
      <c r="U20" s="15">
        <f t="shared" si="9"/>
        <v>316.70588235294116</v>
      </c>
      <c r="V20" s="15">
        <f t="shared" si="10"/>
        <v>-159</v>
      </c>
      <c r="W20" s="15">
        <f t="shared" si="11"/>
        <v>-9.3529411764705515</v>
      </c>
      <c r="X20" s="15">
        <f>SUMIFS(Stats!I:I,Stats!F:F,A20)</f>
        <v>134</v>
      </c>
      <c r="Y20" s="15">
        <f t="shared" si="12"/>
        <v>22.333333333333332</v>
      </c>
      <c r="Z20" s="15">
        <f>SUMIFS(Stats!J:J,Stats!F:F,A20)</f>
        <v>81</v>
      </c>
      <c r="AA20" s="15">
        <f t="shared" si="13"/>
        <v>13.5</v>
      </c>
      <c r="AB20" s="15">
        <f t="shared" si="14"/>
        <v>53</v>
      </c>
      <c r="AC20" s="15">
        <f t="shared" si="15"/>
        <v>8.8333333333333321</v>
      </c>
      <c r="AD20" s="15">
        <f>SUMIFS(Stats!J:J,Stats!H:H,A20)</f>
        <v>177</v>
      </c>
      <c r="AE20" s="18">
        <f t="shared" si="16"/>
        <v>16.09090909090909</v>
      </c>
      <c r="AF20" s="15">
        <f>SUMIFS(Stats!I:I,Stats!H:H,A20)</f>
        <v>326</v>
      </c>
      <c r="AG20" s="18">
        <f t="shared" si="17"/>
        <v>29.636363636363637</v>
      </c>
      <c r="AH20" s="15">
        <f t="shared" si="18"/>
        <v>-149</v>
      </c>
      <c r="AI20" s="18">
        <f t="shared" si="19"/>
        <v>-13.545454545454547</v>
      </c>
      <c r="AJ20" s="15">
        <f>_xlfn.MINIFS(Stats!O:O,Stats!F:F,A20)</f>
        <v>1</v>
      </c>
      <c r="AK20" s="15">
        <f>-_xlfn.MINIFS(Stats!O:O,Stats!H:H,A20)</f>
        <v>-2</v>
      </c>
      <c r="AL20" s="15">
        <f>_xlfn.MAXIFS(Stats!O:O,Stats!F:F,A20)</f>
        <v>26</v>
      </c>
      <c r="AM20" s="15">
        <f>-_xlfn.MAXIFS(Stats!O:O,Stats!H:H,A20)</f>
        <v>-35</v>
      </c>
      <c r="AN20" s="15">
        <f>_xlfn.MAXIFS(Stats!I:I,Stats!F:F,A20)</f>
        <v>29</v>
      </c>
      <c r="AO20" s="15">
        <f>IF(_xlfn.MINIFS(Stats!I:I,Stats!F:F,A20)&lt;_xlfn.MINIFS(Stats!J:J,Stats!H:H,A20),_xlfn.MINIFS(Stats!I:I,Stats!F:F,A20),_xlfn.MINIFS(Stats!J:J,Stats!H:H,A20))</f>
        <v>3</v>
      </c>
      <c r="AP20" s="15">
        <f>IF(_xlfn.MAXIFS(Stats!K:K,Stats!F:F,A20)&gt;_xlfn.MAXIFS(Stats!M:M,Stats!H:H,A20),_xlfn.MAXIFS(Stats!K:K,Stats!F:F,A20),_xlfn.MAXIFS(Stats!M:M,Stats!H:H,A20))</f>
        <v>414</v>
      </c>
      <c r="AQ20" s="15">
        <f>IF(_xlfn.MINIFS(Stats!M:M,Stats!H:H,A20)&lt;_xlfn.MINIFS(Stats!K:K,Stats!F:F,A20),_xlfn.MINIFS(Stats!M:M,Stats!H:H,A20),_xlfn.MINIFS(Stats!K:K,Stats!F:F,A20))</f>
        <v>47</v>
      </c>
      <c r="AR20" s="15">
        <f>SUMIFS(Stats!K:K,Stats!F:F,A20)/F20</f>
        <v>295.83333333333331</v>
      </c>
      <c r="AS20" s="15">
        <f>SUMIFS(Stats!M:M,Stats!F:F,A20)/F20</f>
        <v>263.83333333333331</v>
      </c>
      <c r="AT20" s="15">
        <f t="shared" si="20"/>
        <v>32</v>
      </c>
      <c r="AU20" s="15">
        <f>SUMIFS(Stats!M:M,Stats!H:H,A20)/G20</f>
        <v>313.63636363636363</v>
      </c>
      <c r="AV20" s="15">
        <f>SUMIFS(Stats!K:K,Stats!H:H,A20)/G20</f>
        <v>345.54545454545456</v>
      </c>
      <c r="AW20" s="15">
        <f t="shared" si="21"/>
        <v>-31.909090909090935</v>
      </c>
      <c r="AX20" s="15">
        <f>(SUMIFS(Stats!I:I,Stats!E:E,"H",Stats!F:F,A20)+SUMIFS(Stats!J:J,Stats!H:H,A20,Stats!G:G,"H"))/(H20+I20)</f>
        <v>19.125</v>
      </c>
      <c r="AY20" s="15">
        <f>(SUMIFS(Stats!K:K,Stats!F:F,A20,Stats!E:E,"H")+SUMIFS(Stats!M:M,Stats!G:G,"H",Stats!H:H,A20))/(H20+I20)</f>
        <v>310.125</v>
      </c>
      <c r="AZ20" s="15">
        <f>(SUMIFS(Stats!I:I,Stats!E:E,"V",Stats!F:F,A20)+SUMIFS(Stats!J:J,Stats!H:H,A20,Stats!G:G,"V"))/(J20+K20)</f>
        <v>17.555555555555557</v>
      </c>
      <c r="BA20" s="15">
        <f>(SUMIFS(Stats!K:K,Stats!F:F,A20,Stats!E:E,"V")+SUMIFS(Stats!M:M,Stats!G:G,"V",Stats!H:H,A20))/(J20+K20)</f>
        <v>304.88888888888891</v>
      </c>
    </row>
    <row r="21" spans="1:53">
      <c r="A21" t="s">
        <v>41</v>
      </c>
      <c r="B21">
        <f t="shared" si="0"/>
        <v>0</v>
      </c>
      <c r="C21">
        <f t="shared" si="1"/>
        <v>0</v>
      </c>
      <c r="D21" t="s">
        <v>126</v>
      </c>
      <c r="E21" t="s">
        <v>127</v>
      </c>
      <c r="F21">
        <f>COUNTIF(Stats!F:F,A21)</f>
        <v>8</v>
      </c>
      <c r="G21">
        <f>COUNTIF(Stats!H:H,A21)</f>
        <v>9</v>
      </c>
      <c r="H21">
        <f>COUNTIFS(Stats!F:F,A21,Stats!E:E,"H")</f>
        <v>6</v>
      </c>
      <c r="I21">
        <f>COUNTIFS(Stats!H:H,A21,Stats!G:G,"H")</f>
        <v>3</v>
      </c>
      <c r="J21">
        <f t="shared" si="2"/>
        <v>2</v>
      </c>
      <c r="K21">
        <f t="shared" si="3"/>
        <v>6</v>
      </c>
      <c r="L21">
        <f>SUMIFS(Stats!I:I,Stats!F:F,A21)+SUMIFS(Stats!J:J,Stats!H:H,A21)</f>
        <v>349</v>
      </c>
      <c r="M21">
        <f t="shared" si="4"/>
        <v>20.529411764705884</v>
      </c>
      <c r="N21">
        <f>SUMIFS(Stats!I:I,Stats!H:H,A21)+SUMIFS(Stats!J:J,Stats!F:F,A21)</f>
        <v>371</v>
      </c>
      <c r="O21">
        <f t="shared" si="5"/>
        <v>21.823529411764707</v>
      </c>
      <c r="P21" s="15">
        <f t="shared" si="6"/>
        <v>-22</v>
      </c>
      <c r="Q21">
        <f t="shared" si="7"/>
        <v>-1.2941176470588236</v>
      </c>
      <c r="R21" s="15">
        <f>SUMIFS(Stats!K:K,Stats!F:F,A21)+SUMIFS(Stats!M:M,Stats!H:H,A21)</f>
        <v>5791</v>
      </c>
      <c r="S21" s="15">
        <f>SUMIFS(Stats!K:K,Stats!H:H,A21)+SUMIFS(Stats!M:M,Stats!F:F,A21)</f>
        <v>5296</v>
      </c>
      <c r="T21" s="15">
        <f t="shared" si="8"/>
        <v>340.64705882352939</v>
      </c>
      <c r="U21" s="15">
        <f t="shared" si="9"/>
        <v>311.52941176470586</v>
      </c>
      <c r="V21" s="15">
        <f t="shared" si="10"/>
        <v>495</v>
      </c>
      <c r="W21" s="15">
        <f t="shared" si="11"/>
        <v>29.117647058823536</v>
      </c>
      <c r="X21" s="15">
        <f>SUMIFS(Stats!I:I,Stats!F:F,A21)</f>
        <v>187</v>
      </c>
      <c r="Y21" s="15">
        <f t="shared" si="12"/>
        <v>23.375</v>
      </c>
      <c r="Z21" s="15">
        <f>SUMIFS(Stats!J:J,Stats!F:F,A21)</f>
        <v>112</v>
      </c>
      <c r="AA21" s="15">
        <f t="shared" si="13"/>
        <v>14</v>
      </c>
      <c r="AB21" s="15">
        <f t="shared" si="14"/>
        <v>75</v>
      </c>
      <c r="AC21" s="15">
        <f t="shared" si="15"/>
        <v>9.375</v>
      </c>
      <c r="AD21" s="15">
        <f>SUMIFS(Stats!J:J,Stats!H:H,A21)</f>
        <v>162</v>
      </c>
      <c r="AE21" s="18">
        <f t="shared" si="16"/>
        <v>18</v>
      </c>
      <c r="AF21" s="15">
        <f>SUMIFS(Stats!I:I,Stats!H:H,A21)</f>
        <v>259</v>
      </c>
      <c r="AG21" s="18">
        <f t="shared" si="17"/>
        <v>28.777777777777779</v>
      </c>
      <c r="AH21" s="15">
        <f t="shared" si="18"/>
        <v>-97</v>
      </c>
      <c r="AI21" s="18">
        <f t="shared" si="19"/>
        <v>-10.777777777777779</v>
      </c>
      <c r="AJ21" s="15">
        <f>_xlfn.MINIFS(Stats!O:O,Stats!F:F,A21)</f>
        <v>2</v>
      </c>
      <c r="AK21" s="15">
        <f>-_xlfn.MINIFS(Stats!O:O,Stats!H:H,A21)</f>
        <v>-2</v>
      </c>
      <c r="AL21" s="15">
        <f>_xlfn.MAXIFS(Stats!O:O,Stats!F:F,A21)</f>
        <v>25</v>
      </c>
      <c r="AM21" s="15">
        <f>-_xlfn.MAXIFS(Stats!O:O,Stats!H:H,A21)</f>
        <v>-38</v>
      </c>
      <c r="AN21" s="15">
        <f>_xlfn.MAXIFS(Stats!I:I,Stats!F:F,A21)</f>
        <v>41</v>
      </c>
      <c r="AO21" s="15">
        <f>IF(_xlfn.MINIFS(Stats!I:I,Stats!F:F,A21)&lt;_xlfn.MINIFS(Stats!J:J,Stats!H:H,A21),_xlfn.MINIFS(Stats!I:I,Stats!F:F,A21),_xlfn.MINIFS(Stats!J:J,Stats!H:H,A21))</f>
        <v>7</v>
      </c>
      <c r="AP21" s="15">
        <f>IF(_xlfn.MAXIFS(Stats!K:K,Stats!F:F,A21)&gt;_xlfn.MAXIFS(Stats!M:M,Stats!H:H,A21),_xlfn.MAXIFS(Stats!K:K,Stats!F:F,A21),_xlfn.MAXIFS(Stats!M:M,Stats!H:H,A21))</f>
        <v>531</v>
      </c>
      <c r="AQ21" s="15">
        <f>IF(_xlfn.MINIFS(Stats!M:M,Stats!H:H,A21)&lt;_xlfn.MINIFS(Stats!K:K,Stats!F:F,A21),_xlfn.MINIFS(Stats!M:M,Stats!H:H,A21),_xlfn.MINIFS(Stats!K:K,Stats!F:F,A21))</f>
        <v>217</v>
      </c>
      <c r="AR21" s="15">
        <f>SUMIFS(Stats!K:K,Stats!F:F,A21)/F21</f>
        <v>356.5</v>
      </c>
      <c r="AS21" s="15">
        <f>SUMIFS(Stats!M:M,Stats!F:F,A21)/F21</f>
        <v>248.875</v>
      </c>
      <c r="AT21" s="15">
        <f t="shared" si="20"/>
        <v>107.625</v>
      </c>
      <c r="AU21" s="15">
        <f>SUMIFS(Stats!M:M,Stats!H:H,A21)/G21</f>
        <v>326.55555555555554</v>
      </c>
      <c r="AV21" s="15">
        <f>SUMIFS(Stats!K:K,Stats!H:H,A21)/G21</f>
        <v>367.22222222222223</v>
      </c>
      <c r="AW21" s="15">
        <f t="shared" si="21"/>
        <v>-40.666666666666686</v>
      </c>
      <c r="AX21" s="15">
        <f>(SUMIFS(Stats!I:I,Stats!E:E,"H",Stats!F:F,A21)+SUMIFS(Stats!J:J,Stats!H:H,A21,Stats!G:G,"H"))/(H21+I21)</f>
        <v>18.888888888888889</v>
      </c>
      <c r="AY21" s="15">
        <f>(SUMIFS(Stats!K:K,Stats!F:F,A21,Stats!E:E,"H")+SUMIFS(Stats!M:M,Stats!G:G,"H",Stats!H:H,A21))/(H21+I21)</f>
        <v>332.88888888888891</v>
      </c>
      <c r="AZ21" s="15">
        <f>(SUMIFS(Stats!I:I,Stats!E:E,"V",Stats!F:F,A21)+SUMIFS(Stats!J:J,Stats!H:H,A21,Stats!G:G,"V"))/(J21+K21)</f>
        <v>22.375</v>
      </c>
      <c r="BA21" s="15">
        <f>(SUMIFS(Stats!K:K,Stats!F:F,A21,Stats!E:E,"V")+SUMIFS(Stats!M:M,Stats!G:G,"V",Stats!H:H,A21))/(J21+K21)</f>
        <v>349.375</v>
      </c>
    </row>
    <row r="22" spans="1:53">
      <c r="A22" t="s">
        <v>47</v>
      </c>
      <c r="B22">
        <f t="shared" si="0"/>
        <v>0</v>
      </c>
      <c r="C22">
        <f t="shared" si="1"/>
        <v>0</v>
      </c>
      <c r="D22" t="s">
        <v>126</v>
      </c>
      <c r="E22" t="s">
        <v>125</v>
      </c>
      <c r="F22">
        <f>COUNTIF(Stats!F:F,A22)</f>
        <v>10</v>
      </c>
      <c r="G22">
        <f>COUNTIF(Stats!H:H,A22)</f>
        <v>8</v>
      </c>
      <c r="H22">
        <f>COUNTIFS(Stats!F:F,A22,Stats!E:E,"H")</f>
        <v>4</v>
      </c>
      <c r="I22">
        <f>COUNTIFS(Stats!H:H,A22,Stats!G:G,"H")</f>
        <v>5</v>
      </c>
      <c r="J22">
        <f t="shared" si="2"/>
        <v>6</v>
      </c>
      <c r="K22">
        <f t="shared" si="3"/>
        <v>3</v>
      </c>
      <c r="L22">
        <f>SUMIFS(Stats!I:I,Stats!F:F,A22)+SUMIFS(Stats!J:J,Stats!H:H,A22)</f>
        <v>479</v>
      </c>
      <c r="M22">
        <f t="shared" si="4"/>
        <v>26.611111111111111</v>
      </c>
      <c r="N22">
        <f>SUMIFS(Stats!I:I,Stats!H:H,A22)+SUMIFS(Stats!J:J,Stats!F:F,A22)</f>
        <v>350</v>
      </c>
      <c r="O22">
        <f t="shared" si="5"/>
        <v>19.444444444444443</v>
      </c>
      <c r="P22" s="15">
        <f t="shared" si="6"/>
        <v>129</v>
      </c>
      <c r="Q22">
        <f t="shared" si="7"/>
        <v>7.166666666666667</v>
      </c>
      <c r="R22" s="15">
        <f>SUMIFS(Stats!K:K,Stats!F:F,A22)+SUMIFS(Stats!M:M,Stats!H:H,A22)</f>
        <v>6313</v>
      </c>
      <c r="S22" s="15">
        <f>SUMIFS(Stats!K:K,Stats!H:H,A22)+SUMIFS(Stats!M:M,Stats!F:F,A22)</f>
        <v>5766</v>
      </c>
      <c r="T22" s="15">
        <f t="shared" si="8"/>
        <v>350.72222222222223</v>
      </c>
      <c r="U22" s="15">
        <f t="shared" si="9"/>
        <v>320.33333333333331</v>
      </c>
      <c r="V22" s="15">
        <f t="shared" si="10"/>
        <v>547</v>
      </c>
      <c r="W22" s="15">
        <f t="shared" si="11"/>
        <v>30.388888888888914</v>
      </c>
      <c r="X22" s="15">
        <f>SUMIFS(Stats!I:I,Stats!F:F,A22)</f>
        <v>325</v>
      </c>
      <c r="Y22" s="15">
        <f t="shared" si="12"/>
        <v>32.5</v>
      </c>
      <c r="Z22" s="15">
        <f>SUMIFS(Stats!J:J,Stats!F:F,A22)</f>
        <v>111</v>
      </c>
      <c r="AA22" s="15">
        <f t="shared" si="13"/>
        <v>11.1</v>
      </c>
      <c r="AB22" s="15">
        <f t="shared" si="14"/>
        <v>214</v>
      </c>
      <c r="AC22" s="15">
        <f t="shared" si="15"/>
        <v>21.4</v>
      </c>
      <c r="AD22" s="15">
        <f>SUMIFS(Stats!J:J,Stats!H:H,A22)</f>
        <v>154</v>
      </c>
      <c r="AE22" s="18">
        <f t="shared" si="16"/>
        <v>19.25</v>
      </c>
      <c r="AF22" s="15">
        <f>SUMIFS(Stats!I:I,Stats!H:H,A22)</f>
        <v>239</v>
      </c>
      <c r="AG22" s="18">
        <f t="shared" si="17"/>
        <v>29.875</v>
      </c>
      <c r="AH22" s="15">
        <f t="shared" si="18"/>
        <v>-85</v>
      </c>
      <c r="AI22" s="18">
        <f t="shared" si="19"/>
        <v>-10.625</v>
      </c>
      <c r="AJ22" s="15">
        <f>_xlfn.MINIFS(Stats!O:O,Stats!F:F,A22)</f>
        <v>3</v>
      </c>
      <c r="AK22" s="15">
        <f>-_xlfn.MINIFS(Stats!O:O,Stats!H:H,A22)</f>
        <v>-1</v>
      </c>
      <c r="AL22" s="15">
        <f>_xlfn.MAXIFS(Stats!O:O,Stats!F:F,A22)</f>
        <v>41</v>
      </c>
      <c r="AM22" s="15">
        <f>-_xlfn.MAXIFS(Stats!O:O,Stats!H:H,A22)</f>
        <v>-30</v>
      </c>
      <c r="AN22" s="15">
        <f>_xlfn.MAXIFS(Stats!I:I,Stats!F:F,A22)</f>
        <v>54</v>
      </c>
      <c r="AO22" s="15">
        <f>IF(_xlfn.MINIFS(Stats!I:I,Stats!F:F,A22)&lt;_xlfn.MINIFS(Stats!J:J,Stats!H:H,A22),_xlfn.MINIFS(Stats!I:I,Stats!F:F,A22),_xlfn.MINIFS(Stats!J:J,Stats!H:H,A22))</f>
        <v>13</v>
      </c>
      <c r="AP22" s="15">
        <f>IF(_xlfn.MAXIFS(Stats!K:K,Stats!F:F,A22)&gt;_xlfn.MAXIFS(Stats!M:M,Stats!H:H,A22),_xlfn.MAXIFS(Stats!K:K,Stats!F:F,A22),_xlfn.MAXIFS(Stats!M:M,Stats!H:H,A22))</f>
        <v>551</v>
      </c>
      <c r="AQ22" s="15">
        <f>IF(_xlfn.MINIFS(Stats!M:M,Stats!H:H,A22)&lt;_xlfn.MINIFS(Stats!K:K,Stats!F:F,A22),_xlfn.MINIFS(Stats!M:M,Stats!H:H,A22),_xlfn.MINIFS(Stats!K:K,Stats!F:F,A22))</f>
        <v>241</v>
      </c>
      <c r="AR22" s="15">
        <f>SUMIFS(Stats!K:K,Stats!F:F,A22)/F22</f>
        <v>365.4</v>
      </c>
      <c r="AS22" s="15">
        <f>SUMIFS(Stats!M:M,Stats!F:F,A22)/F22</f>
        <v>282.39999999999998</v>
      </c>
      <c r="AT22" s="15">
        <f t="shared" si="20"/>
        <v>83</v>
      </c>
      <c r="AU22" s="15">
        <f>SUMIFS(Stats!M:M,Stats!H:H,A22)/G22</f>
        <v>332.375</v>
      </c>
      <c r="AV22" s="15">
        <f>SUMIFS(Stats!K:K,Stats!H:H,A22)/G22</f>
        <v>367.75</v>
      </c>
      <c r="AW22" s="15">
        <f t="shared" si="21"/>
        <v>-35.375</v>
      </c>
      <c r="AX22" s="15">
        <f>(SUMIFS(Stats!I:I,Stats!E:E,"H",Stats!F:F,A22)+SUMIFS(Stats!J:J,Stats!H:H,A22,Stats!G:G,"H"))/(H22+I22)</f>
        <v>31.222222222222221</v>
      </c>
      <c r="AY22" s="15">
        <f>(SUMIFS(Stats!K:K,Stats!F:F,A22,Stats!E:E,"H")+SUMIFS(Stats!M:M,Stats!G:G,"H",Stats!H:H,A22))/(H22+I22)</f>
        <v>386.44444444444446</v>
      </c>
      <c r="AZ22" s="15">
        <f>(SUMIFS(Stats!I:I,Stats!E:E,"V",Stats!F:F,A22)+SUMIFS(Stats!J:J,Stats!H:H,A22,Stats!G:G,"V"))/(J22+K22)</f>
        <v>22</v>
      </c>
      <c r="BA22" s="15">
        <f>(SUMIFS(Stats!K:K,Stats!F:F,A22,Stats!E:E,"V")+SUMIFS(Stats!M:M,Stats!G:G,"V",Stats!H:H,A22))/(J22+K22)</f>
        <v>315</v>
      </c>
    </row>
    <row r="23" spans="1:53">
      <c r="A23" t="s">
        <v>18</v>
      </c>
      <c r="B23">
        <f t="shared" si="0"/>
        <v>7</v>
      </c>
      <c r="C23">
        <f t="shared" si="1"/>
        <v>0</v>
      </c>
      <c r="D23" t="s">
        <v>123</v>
      </c>
      <c r="E23" t="s">
        <v>125</v>
      </c>
      <c r="F23">
        <f>COUNTIF(Stats!F:F,A23)</f>
        <v>12</v>
      </c>
      <c r="G23">
        <f>COUNTIF(Stats!H:H,A23)</f>
        <v>6</v>
      </c>
      <c r="H23">
        <f>COUNTIFS(Stats!F:F,A23,Stats!E:E,"H")</f>
        <v>5</v>
      </c>
      <c r="I23">
        <f>COUNTIFS(Stats!H:H,A23,Stats!G:G,"H")</f>
        <v>4</v>
      </c>
      <c r="J23">
        <f t="shared" si="2"/>
        <v>7</v>
      </c>
      <c r="K23">
        <f t="shared" si="3"/>
        <v>2</v>
      </c>
      <c r="L23">
        <f>SUMIFS(Stats!I:I,Stats!F:F,A23)+SUMIFS(Stats!J:J,Stats!H:H,A23)</f>
        <v>547</v>
      </c>
      <c r="M23">
        <f t="shared" si="4"/>
        <v>30.388888888888889</v>
      </c>
      <c r="N23">
        <f>SUMIFS(Stats!I:I,Stats!H:H,A23)+SUMIFS(Stats!J:J,Stats!F:F,A23)</f>
        <v>381</v>
      </c>
      <c r="O23">
        <f t="shared" si="5"/>
        <v>21.166666666666668</v>
      </c>
      <c r="P23" s="15">
        <f t="shared" si="6"/>
        <v>166</v>
      </c>
      <c r="Q23">
        <f t="shared" si="7"/>
        <v>9.2222222222222214</v>
      </c>
      <c r="R23" s="15">
        <f>SUMIFS(Stats!K:K,Stats!F:F,A23)+SUMIFS(Stats!M:M,Stats!H:H,A23)</f>
        <v>7226</v>
      </c>
      <c r="S23" s="15">
        <f>SUMIFS(Stats!K:K,Stats!H:H,A23)+SUMIFS(Stats!M:M,Stats!F:F,A23)</f>
        <v>6308</v>
      </c>
      <c r="T23" s="15">
        <f t="shared" si="8"/>
        <v>401.44444444444446</v>
      </c>
      <c r="U23" s="15">
        <f t="shared" si="9"/>
        <v>350.44444444444446</v>
      </c>
      <c r="V23" s="15">
        <f t="shared" si="10"/>
        <v>918</v>
      </c>
      <c r="W23" s="15">
        <f t="shared" si="11"/>
        <v>51</v>
      </c>
      <c r="X23" s="15">
        <f>SUMIFS(Stats!I:I,Stats!F:F,A23)</f>
        <v>421</v>
      </c>
      <c r="Y23" s="15">
        <f t="shared" si="12"/>
        <v>35.083333333333336</v>
      </c>
      <c r="Z23" s="15">
        <f>SUMIFS(Stats!J:J,Stats!F:F,A23)</f>
        <v>217</v>
      </c>
      <c r="AA23" s="15">
        <f t="shared" si="13"/>
        <v>18.083333333333332</v>
      </c>
      <c r="AB23" s="15">
        <f t="shared" si="14"/>
        <v>204</v>
      </c>
      <c r="AC23" s="15">
        <f t="shared" si="15"/>
        <v>17.000000000000004</v>
      </c>
      <c r="AD23" s="15">
        <f>SUMIFS(Stats!J:J,Stats!H:H,A23)</f>
        <v>126</v>
      </c>
      <c r="AE23" s="18">
        <f t="shared" si="16"/>
        <v>21</v>
      </c>
      <c r="AF23" s="15">
        <f>SUMIFS(Stats!I:I,Stats!H:H,A23)</f>
        <v>164</v>
      </c>
      <c r="AG23" s="18">
        <f t="shared" si="17"/>
        <v>27.333333333333332</v>
      </c>
      <c r="AH23" s="15">
        <f t="shared" si="18"/>
        <v>-38</v>
      </c>
      <c r="AI23" s="18">
        <f t="shared" si="19"/>
        <v>-6.3333333333333321</v>
      </c>
      <c r="AJ23" s="15">
        <f>_xlfn.MINIFS(Stats!O:O,Stats!F:F,A23)</f>
        <v>3</v>
      </c>
      <c r="AK23" s="15">
        <f>-_xlfn.MINIFS(Stats!O:O,Stats!H:H,A23)</f>
        <v>-2</v>
      </c>
      <c r="AL23" s="15">
        <f>_xlfn.MAXIFS(Stats!O:O,Stats!F:F,A23)</f>
        <v>42</v>
      </c>
      <c r="AM23" s="15">
        <f>-_xlfn.MAXIFS(Stats!O:O,Stats!H:H,A23)</f>
        <v>-14</v>
      </c>
      <c r="AN23" s="15">
        <f>_xlfn.MAXIFS(Stats!I:I,Stats!F:F,A23)</f>
        <v>56</v>
      </c>
      <c r="AO23" s="15">
        <f>IF(_xlfn.MINIFS(Stats!I:I,Stats!F:F,A23)&lt;_xlfn.MINIFS(Stats!J:J,Stats!H:H,A23),_xlfn.MINIFS(Stats!I:I,Stats!F:F,A23),_xlfn.MINIFS(Stats!J:J,Stats!H:H,A23))</f>
        <v>9</v>
      </c>
      <c r="AP23" s="15">
        <f>IF(_xlfn.MAXIFS(Stats!K:K,Stats!F:F,A23)&gt;_xlfn.MAXIFS(Stats!M:M,Stats!H:H,A23),_xlfn.MAXIFS(Stats!K:K,Stats!F:F,A23),_xlfn.MAXIFS(Stats!M:M,Stats!H:H,A23))</f>
        <v>567</v>
      </c>
      <c r="AQ23" s="15">
        <f>IF(_xlfn.MINIFS(Stats!M:M,Stats!H:H,A23)&lt;_xlfn.MINIFS(Stats!K:K,Stats!F:F,A23),_xlfn.MINIFS(Stats!M:M,Stats!H:H,A23),_xlfn.MINIFS(Stats!K:K,Stats!F:F,A23))</f>
        <v>276</v>
      </c>
      <c r="AR23" s="15">
        <f>SUMIFS(Stats!K:K,Stats!F:F,A23)/F23</f>
        <v>430.33333333333331</v>
      </c>
      <c r="AS23" s="15">
        <f>SUMIFS(Stats!M:M,Stats!F:F,A23)/F23</f>
        <v>320.91666666666669</v>
      </c>
      <c r="AT23" s="15">
        <f t="shared" si="20"/>
        <v>109.41666666666663</v>
      </c>
      <c r="AU23" s="15">
        <f>SUMIFS(Stats!M:M,Stats!H:H,A23)/G23</f>
        <v>343.66666666666669</v>
      </c>
      <c r="AV23" s="15">
        <f>SUMIFS(Stats!K:K,Stats!H:H,A23)/G23</f>
        <v>409.5</v>
      </c>
      <c r="AW23" s="15">
        <f t="shared" si="21"/>
        <v>-65.833333333333314</v>
      </c>
      <c r="AX23" s="15">
        <f>(SUMIFS(Stats!I:I,Stats!E:E,"H",Stats!F:F,A23)+SUMIFS(Stats!J:J,Stats!H:H,A23,Stats!G:G,"H"))/(H23+I23)</f>
        <v>34.222222222222221</v>
      </c>
      <c r="AY23" s="15">
        <f>(SUMIFS(Stats!K:K,Stats!F:F,A23,Stats!E:E,"H")+SUMIFS(Stats!M:M,Stats!G:G,"H",Stats!H:H,A23))/(H23+I23)</f>
        <v>399</v>
      </c>
      <c r="AZ23" s="15">
        <f>(SUMIFS(Stats!I:I,Stats!E:E,"V",Stats!F:F,A23)+SUMIFS(Stats!J:J,Stats!H:H,A23,Stats!G:G,"V"))/(J23+K23)</f>
        <v>26.555555555555557</v>
      </c>
      <c r="BA23" s="15">
        <f>(SUMIFS(Stats!K:K,Stats!F:F,A23,Stats!E:E,"V")+SUMIFS(Stats!M:M,Stats!G:G,"V",Stats!H:H,A23))/(J23+K23)</f>
        <v>403.88888888888891</v>
      </c>
    </row>
    <row r="24" spans="1:53">
      <c r="A24" t="s">
        <v>32</v>
      </c>
      <c r="B24">
        <f t="shared" si="0"/>
        <v>2</v>
      </c>
      <c r="C24">
        <f t="shared" si="1"/>
        <v>0</v>
      </c>
      <c r="D24" t="s">
        <v>126</v>
      </c>
      <c r="E24" t="s">
        <v>124</v>
      </c>
      <c r="F24">
        <f>COUNTIF(Stats!F:F,A24)</f>
        <v>12</v>
      </c>
      <c r="G24">
        <f>COUNTIF(Stats!H:H,A24)</f>
        <v>6</v>
      </c>
      <c r="H24">
        <f>COUNTIFS(Stats!F:F,A24,Stats!E:E,"H")</f>
        <v>7</v>
      </c>
      <c r="I24">
        <f>COUNTIFS(Stats!H:H,A24,Stats!G:G,"H")</f>
        <v>3</v>
      </c>
      <c r="J24">
        <f t="shared" si="2"/>
        <v>5</v>
      </c>
      <c r="K24">
        <f t="shared" si="3"/>
        <v>3</v>
      </c>
      <c r="L24">
        <f>SUMIFS(Stats!I:I,Stats!F:F,A24)+SUMIFS(Stats!J:J,Stats!H:H,A24)</f>
        <v>435</v>
      </c>
      <c r="M24">
        <f t="shared" si="4"/>
        <v>24.166666666666668</v>
      </c>
      <c r="N24">
        <f>SUMIFS(Stats!I:I,Stats!H:H,A24)+SUMIFS(Stats!J:J,Stats!F:F,A24)</f>
        <v>373</v>
      </c>
      <c r="O24">
        <f t="shared" si="5"/>
        <v>20.722222222222221</v>
      </c>
      <c r="P24" s="15">
        <f t="shared" si="6"/>
        <v>62</v>
      </c>
      <c r="Q24">
        <f t="shared" si="7"/>
        <v>3.4444444444444446</v>
      </c>
      <c r="R24" s="15">
        <f>SUMIFS(Stats!K:K,Stats!F:F,A24)+SUMIFS(Stats!M:M,Stats!H:H,A24)</f>
        <v>6175</v>
      </c>
      <c r="S24" s="15">
        <f>SUMIFS(Stats!K:K,Stats!H:H,A24)+SUMIFS(Stats!M:M,Stats!F:F,A24)</f>
        <v>5952</v>
      </c>
      <c r="T24" s="15">
        <f t="shared" si="8"/>
        <v>343.05555555555554</v>
      </c>
      <c r="U24" s="15">
        <f t="shared" si="9"/>
        <v>330.66666666666669</v>
      </c>
      <c r="V24" s="15">
        <f t="shared" si="10"/>
        <v>223</v>
      </c>
      <c r="W24" s="15">
        <f t="shared" si="11"/>
        <v>12.388888888888857</v>
      </c>
      <c r="X24" s="15">
        <f>SUMIFS(Stats!I:I,Stats!F:F,A24)</f>
        <v>343</v>
      </c>
      <c r="Y24" s="15">
        <f t="shared" si="12"/>
        <v>28.583333333333332</v>
      </c>
      <c r="Z24" s="15">
        <f>SUMIFS(Stats!J:J,Stats!F:F,A24)</f>
        <v>212</v>
      </c>
      <c r="AA24" s="15">
        <f t="shared" si="13"/>
        <v>17.666666666666668</v>
      </c>
      <c r="AB24" s="15">
        <f t="shared" si="14"/>
        <v>131</v>
      </c>
      <c r="AC24" s="15">
        <f t="shared" si="15"/>
        <v>10.916666666666664</v>
      </c>
      <c r="AD24" s="15">
        <f>SUMIFS(Stats!J:J,Stats!H:H,A24)</f>
        <v>92</v>
      </c>
      <c r="AE24" s="18">
        <f t="shared" si="16"/>
        <v>15.333333333333334</v>
      </c>
      <c r="AF24" s="15">
        <f>SUMIFS(Stats!I:I,Stats!H:H,A24)</f>
        <v>161</v>
      </c>
      <c r="AG24" s="18">
        <f t="shared" si="17"/>
        <v>26.833333333333332</v>
      </c>
      <c r="AH24" s="15">
        <f t="shared" si="18"/>
        <v>-69</v>
      </c>
      <c r="AI24" s="18">
        <f t="shared" si="19"/>
        <v>-11.499999999999998</v>
      </c>
      <c r="AJ24" s="15">
        <f>_xlfn.MINIFS(Stats!O:O,Stats!F:F,A24)</f>
        <v>2</v>
      </c>
      <c r="AK24" s="15">
        <f>-_xlfn.MINIFS(Stats!O:O,Stats!H:H,A24)</f>
        <v>-3</v>
      </c>
      <c r="AL24" s="15">
        <f>_xlfn.MAXIFS(Stats!O:O,Stats!F:F,A24)</f>
        <v>31</v>
      </c>
      <c r="AM24" s="15">
        <f>-_xlfn.MAXIFS(Stats!O:O,Stats!H:H,A24)</f>
        <v>-25</v>
      </c>
      <c r="AN24" s="15">
        <f>_xlfn.MAXIFS(Stats!I:I,Stats!F:F,A24)</f>
        <v>37</v>
      </c>
      <c r="AO24" s="15">
        <f>IF(_xlfn.MINIFS(Stats!I:I,Stats!F:F,A24)&lt;_xlfn.MINIFS(Stats!J:J,Stats!H:H,A24),_xlfn.MINIFS(Stats!I:I,Stats!F:F,A24),_xlfn.MINIFS(Stats!J:J,Stats!H:H,A24))</f>
        <v>13</v>
      </c>
      <c r="AP24" s="15">
        <f>IF(_xlfn.MAXIFS(Stats!K:K,Stats!F:F,A24)&gt;_xlfn.MAXIFS(Stats!M:M,Stats!H:H,A24),_xlfn.MAXIFS(Stats!K:K,Stats!F:F,A24),_xlfn.MAXIFS(Stats!M:M,Stats!H:H,A24))</f>
        <v>532</v>
      </c>
      <c r="AQ24" s="15">
        <f>IF(_xlfn.MINIFS(Stats!M:M,Stats!H:H,A24)&lt;_xlfn.MINIFS(Stats!K:K,Stats!F:F,A24),_xlfn.MINIFS(Stats!M:M,Stats!H:H,A24),_xlfn.MINIFS(Stats!K:K,Stats!F:F,A24))</f>
        <v>194</v>
      </c>
      <c r="AR24" s="15">
        <f>SUMIFS(Stats!K:K,Stats!F:F,A24)/F24</f>
        <v>337.58333333333331</v>
      </c>
      <c r="AS24" s="15">
        <f>SUMIFS(Stats!M:M,Stats!F:F,A24)/F24</f>
        <v>340.33333333333331</v>
      </c>
      <c r="AT24" s="15">
        <f t="shared" si="20"/>
        <v>-2.75</v>
      </c>
      <c r="AU24" s="15">
        <f>SUMIFS(Stats!M:M,Stats!H:H,A24)/G24</f>
        <v>354</v>
      </c>
      <c r="AV24" s="15">
        <f>SUMIFS(Stats!K:K,Stats!H:H,A24)/G24</f>
        <v>311.33333333333331</v>
      </c>
      <c r="AW24" s="15">
        <f t="shared" si="21"/>
        <v>42.666666666666686</v>
      </c>
      <c r="AX24" s="15">
        <f>(SUMIFS(Stats!I:I,Stats!E:E,"H",Stats!F:F,A24)+SUMIFS(Stats!J:J,Stats!H:H,A24,Stats!G:G,"H"))/(H24+I24)</f>
        <v>22.5</v>
      </c>
      <c r="AY24" s="15">
        <f>(SUMIFS(Stats!K:K,Stats!F:F,A24,Stats!E:E,"H")+SUMIFS(Stats!M:M,Stats!G:G,"H",Stats!H:H,A24))/(H24+I24)</f>
        <v>323.3</v>
      </c>
      <c r="AZ24" s="15">
        <f>(SUMIFS(Stats!I:I,Stats!E:E,"V",Stats!F:F,A24)+SUMIFS(Stats!J:J,Stats!H:H,A24,Stats!G:G,"V"))/(J24+K24)</f>
        <v>26.25</v>
      </c>
      <c r="BA24" s="15">
        <f>(SUMIFS(Stats!K:K,Stats!F:F,A24,Stats!E:E,"V")+SUMIFS(Stats!M:M,Stats!G:G,"V",Stats!H:H,A24))/(J24+K24)</f>
        <v>367.75</v>
      </c>
    </row>
    <row r="25" spans="1:53">
      <c r="A25" t="s">
        <v>53</v>
      </c>
      <c r="B25">
        <f t="shared" si="0"/>
        <v>1</v>
      </c>
      <c r="C25">
        <f t="shared" si="1"/>
        <v>0</v>
      </c>
      <c r="D25" t="s">
        <v>126</v>
      </c>
      <c r="E25" t="s">
        <v>127</v>
      </c>
      <c r="F25">
        <f>COUNTIF(Stats!F:F,A25)</f>
        <v>8</v>
      </c>
      <c r="G25">
        <f>COUNTIF(Stats!H:H,A25)</f>
        <v>9</v>
      </c>
      <c r="H25">
        <f>COUNTIFS(Stats!F:F,A25,Stats!E:E,"H")</f>
        <v>5</v>
      </c>
      <c r="I25">
        <f>COUNTIFS(Stats!H:H,A25,Stats!G:G,"H")</f>
        <v>4</v>
      </c>
      <c r="J25">
        <f t="shared" si="2"/>
        <v>3</v>
      </c>
      <c r="K25">
        <f t="shared" si="3"/>
        <v>5</v>
      </c>
      <c r="L25">
        <f>SUMIFS(Stats!I:I,Stats!F:F,A25)+SUMIFS(Stats!J:J,Stats!H:H,A25)</f>
        <v>387</v>
      </c>
      <c r="M25">
        <f t="shared" si="4"/>
        <v>22.764705882352942</v>
      </c>
      <c r="N25">
        <f>SUMIFS(Stats!I:I,Stats!H:H,A25)+SUMIFS(Stats!J:J,Stats!F:F,A25)</f>
        <v>392</v>
      </c>
      <c r="O25">
        <f t="shared" si="5"/>
        <v>23.058823529411764</v>
      </c>
      <c r="P25" s="15">
        <f t="shared" si="6"/>
        <v>-5</v>
      </c>
      <c r="Q25">
        <f t="shared" si="7"/>
        <v>-0.29411764705882354</v>
      </c>
      <c r="R25" s="15">
        <f>SUMIFS(Stats!K:K,Stats!F:F,A25)+SUMIFS(Stats!M:M,Stats!H:H,A25)</f>
        <v>6440</v>
      </c>
      <c r="S25" s="15">
        <f>SUMIFS(Stats!K:K,Stats!H:H,A25)+SUMIFS(Stats!M:M,Stats!F:F,A25)</f>
        <v>6178</v>
      </c>
      <c r="T25" s="15">
        <f t="shared" si="8"/>
        <v>378.8235294117647</v>
      </c>
      <c r="U25" s="15">
        <f t="shared" si="9"/>
        <v>363.41176470588238</v>
      </c>
      <c r="V25" s="15">
        <f t="shared" si="10"/>
        <v>262</v>
      </c>
      <c r="W25" s="15">
        <f t="shared" si="11"/>
        <v>15.41176470588232</v>
      </c>
      <c r="X25" s="15">
        <f>SUMIFS(Stats!I:I,Stats!F:F,A25)</f>
        <v>209</v>
      </c>
      <c r="Y25" s="15">
        <f t="shared" si="12"/>
        <v>26.125</v>
      </c>
      <c r="Z25" s="15">
        <f>SUMIFS(Stats!J:J,Stats!F:F,A25)</f>
        <v>144</v>
      </c>
      <c r="AA25" s="15">
        <f t="shared" si="13"/>
        <v>18</v>
      </c>
      <c r="AB25" s="15">
        <f t="shared" si="14"/>
        <v>65</v>
      </c>
      <c r="AC25" s="15">
        <f t="shared" si="15"/>
        <v>8.125</v>
      </c>
      <c r="AD25" s="15">
        <f>SUMIFS(Stats!J:J,Stats!H:H,A25)</f>
        <v>178</v>
      </c>
      <c r="AE25" s="18">
        <f t="shared" si="16"/>
        <v>19.777777777777779</v>
      </c>
      <c r="AF25" s="15">
        <f>SUMIFS(Stats!I:I,Stats!H:H,A25)</f>
        <v>248</v>
      </c>
      <c r="AG25" s="18">
        <f t="shared" si="17"/>
        <v>27.555555555555557</v>
      </c>
      <c r="AH25" s="15">
        <f t="shared" si="18"/>
        <v>-70</v>
      </c>
      <c r="AI25" s="18">
        <f t="shared" si="19"/>
        <v>-7.7777777777777786</v>
      </c>
      <c r="AJ25" s="15">
        <f>_xlfn.MINIFS(Stats!O:O,Stats!F:F,A25)</f>
        <v>1</v>
      </c>
      <c r="AK25" s="15">
        <f>-_xlfn.MINIFS(Stats!O:O,Stats!H:H,A25)</f>
        <v>-1</v>
      </c>
      <c r="AL25" s="15">
        <f>_xlfn.MAXIFS(Stats!O:O,Stats!F:F,A25)</f>
        <v>28</v>
      </c>
      <c r="AM25" s="15">
        <f>-_xlfn.MAXIFS(Stats!O:O,Stats!H:H,A25)</f>
        <v>-24</v>
      </c>
      <c r="AN25" s="15">
        <f>_xlfn.MAXIFS(Stats!I:I,Stats!F:F,A25)</f>
        <v>36</v>
      </c>
      <c r="AO25" s="15">
        <f>IF(_xlfn.MINIFS(Stats!I:I,Stats!F:F,A25)&lt;_xlfn.MINIFS(Stats!J:J,Stats!H:H,A25),_xlfn.MINIFS(Stats!I:I,Stats!F:F,A25),_xlfn.MINIFS(Stats!J:J,Stats!H:H,A25))</f>
        <v>10</v>
      </c>
      <c r="AP25" s="15">
        <f>IF(_xlfn.MAXIFS(Stats!K:K,Stats!F:F,A25)&gt;_xlfn.MAXIFS(Stats!M:M,Stats!H:H,A25),_xlfn.MAXIFS(Stats!K:K,Stats!F:F,A25),_xlfn.MAXIFS(Stats!M:M,Stats!H:H,A25))</f>
        <v>523</v>
      </c>
      <c r="AQ25" s="15">
        <f>IF(_xlfn.MINIFS(Stats!M:M,Stats!H:H,A25)&lt;_xlfn.MINIFS(Stats!K:K,Stats!F:F,A25),_xlfn.MINIFS(Stats!M:M,Stats!H:H,A25),_xlfn.MINIFS(Stats!K:K,Stats!F:F,A25))</f>
        <v>299</v>
      </c>
      <c r="AR25" s="15">
        <f>SUMIFS(Stats!K:K,Stats!F:F,A25)/F25</f>
        <v>403.25</v>
      </c>
      <c r="AS25" s="15">
        <f>SUMIFS(Stats!M:M,Stats!F:F,A25)/F25</f>
        <v>324.75</v>
      </c>
      <c r="AT25" s="15">
        <f t="shared" si="20"/>
        <v>78.5</v>
      </c>
      <c r="AU25" s="15">
        <f>SUMIFS(Stats!M:M,Stats!H:H,A25)/G25</f>
        <v>357.11111111111109</v>
      </c>
      <c r="AV25" s="15">
        <f>SUMIFS(Stats!K:K,Stats!H:H,A25)/G25</f>
        <v>397.77777777777777</v>
      </c>
      <c r="AW25" s="15">
        <f t="shared" si="21"/>
        <v>-40.666666666666686</v>
      </c>
      <c r="AX25" s="15">
        <f>(SUMIFS(Stats!I:I,Stats!E:E,"H",Stats!F:F,A25)+SUMIFS(Stats!J:J,Stats!H:H,A25,Stats!G:G,"H"))/(H25+I25)</f>
        <v>25.555555555555557</v>
      </c>
      <c r="AY25" s="15">
        <f>(SUMIFS(Stats!K:K,Stats!F:F,A25,Stats!E:E,"H")+SUMIFS(Stats!M:M,Stats!G:G,"H",Stats!H:H,A25))/(H25+I25)</f>
        <v>398.77777777777777</v>
      </c>
      <c r="AZ25" s="15">
        <f>(SUMIFS(Stats!I:I,Stats!E:E,"V",Stats!F:F,A25)+SUMIFS(Stats!J:J,Stats!H:H,A25,Stats!G:G,"V"))/(J25+K25)</f>
        <v>19.625</v>
      </c>
      <c r="BA25" s="15">
        <f>(SUMIFS(Stats!K:K,Stats!F:F,A25,Stats!E:E,"V")+SUMIFS(Stats!M:M,Stats!G:G,"V",Stats!H:H,A25))/(J25+K25)</f>
        <v>356.375</v>
      </c>
    </row>
    <row r="26" spans="1:53">
      <c r="A26" t="s">
        <v>45</v>
      </c>
      <c r="B26">
        <f t="shared" si="0"/>
        <v>3</v>
      </c>
      <c r="C26">
        <f t="shared" si="1"/>
        <v>1</v>
      </c>
      <c r="D26" t="s">
        <v>123</v>
      </c>
      <c r="E26" t="s">
        <v>127</v>
      </c>
      <c r="F26">
        <f>COUNTIF(Stats!F:F,A26)</f>
        <v>13</v>
      </c>
      <c r="G26">
        <f>COUNTIF(Stats!H:H,A26)</f>
        <v>5</v>
      </c>
      <c r="H26">
        <f>COUNTIFS(Stats!F:F,A26,Stats!E:E,"H")</f>
        <v>8</v>
      </c>
      <c r="I26">
        <f>COUNTIFS(Stats!H:H,A26,Stats!G:G,"H")</f>
        <v>1</v>
      </c>
      <c r="J26">
        <f t="shared" si="2"/>
        <v>5</v>
      </c>
      <c r="K26">
        <f t="shared" si="3"/>
        <v>4</v>
      </c>
      <c r="L26">
        <f>SUMIFS(Stats!I:I,Stats!F:F,A26)+SUMIFS(Stats!J:J,Stats!H:H,A26)</f>
        <v>460</v>
      </c>
      <c r="M26">
        <f t="shared" si="4"/>
        <v>25.555555555555557</v>
      </c>
      <c r="N26">
        <f>SUMIFS(Stats!I:I,Stats!H:H,A26)+SUMIFS(Stats!J:J,Stats!F:F,A26)</f>
        <v>384</v>
      </c>
      <c r="O26">
        <f t="shared" si="5"/>
        <v>21.333333333333332</v>
      </c>
      <c r="P26" s="15">
        <f t="shared" si="6"/>
        <v>76</v>
      </c>
      <c r="Q26">
        <f t="shared" si="7"/>
        <v>4.2222222222222223</v>
      </c>
      <c r="R26" s="15">
        <f>SUMIFS(Stats!K:K,Stats!F:F,A26)+SUMIFS(Stats!M:M,Stats!H:H,A26)</f>
        <v>6478</v>
      </c>
      <c r="S26" s="15">
        <f>SUMIFS(Stats!K:K,Stats!H:H,A26)+SUMIFS(Stats!M:M,Stats!F:F,A26)</f>
        <v>5791</v>
      </c>
      <c r="T26" s="15">
        <f t="shared" si="8"/>
        <v>359.88888888888891</v>
      </c>
      <c r="U26" s="15">
        <f t="shared" si="9"/>
        <v>321.72222222222223</v>
      </c>
      <c r="V26" s="15">
        <f t="shared" si="10"/>
        <v>687</v>
      </c>
      <c r="W26" s="15">
        <f t="shared" si="11"/>
        <v>38.166666666666686</v>
      </c>
      <c r="X26" s="15">
        <f>SUMIFS(Stats!I:I,Stats!F:F,A26)</f>
        <v>379</v>
      </c>
      <c r="Y26" s="15">
        <f t="shared" si="12"/>
        <v>29.153846153846153</v>
      </c>
      <c r="Z26" s="15">
        <f>SUMIFS(Stats!J:J,Stats!F:F,A26)</f>
        <v>249</v>
      </c>
      <c r="AA26" s="15">
        <f t="shared" si="13"/>
        <v>19.153846153846153</v>
      </c>
      <c r="AB26" s="15">
        <f t="shared" si="14"/>
        <v>130</v>
      </c>
      <c r="AC26" s="15">
        <f t="shared" si="15"/>
        <v>10</v>
      </c>
      <c r="AD26" s="15">
        <f>SUMIFS(Stats!J:J,Stats!H:H,A26)</f>
        <v>81</v>
      </c>
      <c r="AE26" s="18">
        <f t="shared" si="16"/>
        <v>16.2</v>
      </c>
      <c r="AF26" s="15">
        <f>SUMIFS(Stats!I:I,Stats!H:H,A26)</f>
        <v>135</v>
      </c>
      <c r="AG26" s="18">
        <f t="shared" si="17"/>
        <v>27</v>
      </c>
      <c r="AH26" s="15">
        <f t="shared" si="18"/>
        <v>-54</v>
      </c>
      <c r="AI26" s="18">
        <f t="shared" si="19"/>
        <v>-10.8</v>
      </c>
      <c r="AJ26" s="15">
        <f>_xlfn.MINIFS(Stats!O:O,Stats!F:F,A26)</f>
        <v>1</v>
      </c>
      <c r="AK26" s="15">
        <f>-_xlfn.MINIFS(Stats!O:O,Stats!H:H,A26)</f>
        <v>-3</v>
      </c>
      <c r="AL26" s="15">
        <f>_xlfn.MAXIFS(Stats!O:O,Stats!F:F,A26)</f>
        <v>27</v>
      </c>
      <c r="AM26" s="15">
        <f>-_xlfn.MAXIFS(Stats!O:O,Stats!H:H,A26)</f>
        <v>-35</v>
      </c>
      <c r="AN26" s="15">
        <f>_xlfn.MAXIFS(Stats!I:I,Stats!F:F,A26)</f>
        <v>45</v>
      </c>
      <c r="AO26" s="15">
        <f>IF(_xlfn.MINIFS(Stats!I:I,Stats!F:F,A26)&lt;_xlfn.MINIFS(Stats!J:J,Stats!H:H,A26),_xlfn.MINIFS(Stats!I:I,Stats!F:F,A26),_xlfn.MINIFS(Stats!J:J,Stats!H:H,A26))</f>
        <v>3</v>
      </c>
      <c r="AP26" s="15">
        <f>IF(_xlfn.MAXIFS(Stats!K:K,Stats!F:F,A26)&gt;_xlfn.MAXIFS(Stats!M:M,Stats!H:H,A26),_xlfn.MAXIFS(Stats!K:K,Stats!F:F,A26),_xlfn.MAXIFS(Stats!M:M,Stats!H:H,A26))</f>
        <v>481</v>
      </c>
      <c r="AQ26" s="15">
        <f>IF(_xlfn.MINIFS(Stats!M:M,Stats!H:H,A26)&lt;_xlfn.MINIFS(Stats!K:K,Stats!F:F,A26),_xlfn.MINIFS(Stats!M:M,Stats!H:H,A26),_xlfn.MINIFS(Stats!K:K,Stats!F:F,A26))</f>
        <v>229</v>
      </c>
      <c r="AR26" s="15">
        <f>SUMIFS(Stats!K:K,Stats!F:F,A26)/F26</f>
        <v>372.30769230769232</v>
      </c>
      <c r="AS26" s="15">
        <f>SUMIFS(Stats!M:M,Stats!F:F,A26)/F26</f>
        <v>323.69230769230768</v>
      </c>
      <c r="AT26" s="15">
        <f t="shared" si="20"/>
        <v>48.615384615384642</v>
      </c>
      <c r="AU26" s="15">
        <f>SUMIFS(Stats!M:M,Stats!H:H,A26)/G26</f>
        <v>327.60000000000002</v>
      </c>
      <c r="AV26" s="15">
        <f>SUMIFS(Stats!K:K,Stats!H:H,A26)/G26</f>
        <v>316.60000000000002</v>
      </c>
      <c r="AW26" s="15">
        <f t="shared" si="21"/>
        <v>11</v>
      </c>
      <c r="AX26" s="15">
        <f>(SUMIFS(Stats!I:I,Stats!E:E,"H",Stats!F:F,A26)+SUMIFS(Stats!J:J,Stats!H:H,A26,Stats!G:G,"H"))/(H26+I26)</f>
        <v>28.333333333333332</v>
      </c>
      <c r="AY26" s="15">
        <f>(SUMIFS(Stats!K:K,Stats!F:F,A26,Stats!E:E,"H")+SUMIFS(Stats!M:M,Stats!G:G,"H",Stats!H:H,A26))/(H26+I26)</f>
        <v>364.44444444444446</v>
      </c>
      <c r="AZ26" s="15">
        <f>(SUMIFS(Stats!I:I,Stats!E:E,"V",Stats!F:F,A26)+SUMIFS(Stats!J:J,Stats!H:H,A26,Stats!G:G,"V"))/(J26+K26)</f>
        <v>22.777777777777779</v>
      </c>
      <c r="BA26" s="15">
        <f>(SUMIFS(Stats!K:K,Stats!F:F,A26,Stats!E:E,"V")+SUMIFS(Stats!M:M,Stats!G:G,"V",Stats!H:H,A26))/(J26+K26)</f>
        <v>355.33333333333331</v>
      </c>
    </row>
    <row r="27" spans="1:53">
      <c r="A27" t="s">
        <v>22</v>
      </c>
      <c r="B27">
        <f t="shared" si="0"/>
        <v>0</v>
      </c>
      <c r="C27">
        <f t="shared" si="1"/>
        <v>1</v>
      </c>
      <c r="D27" t="s">
        <v>123</v>
      </c>
      <c r="E27" t="s">
        <v>124</v>
      </c>
      <c r="F27">
        <f>COUNTIF(Stats!F:F,A27)</f>
        <v>7</v>
      </c>
      <c r="G27">
        <f>COUNTIF(Stats!H:H,A27)</f>
        <v>10</v>
      </c>
      <c r="H27">
        <f>COUNTIFS(Stats!F:F,A27,Stats!E:E,"H")</f>
        <v>2</v>
      </c>
      <c r="I27">
        <f>COUNTIFS(Stats!H:H,A27,Stats!G:G,"H")</f>
        <v>6</v>
      </c>
      <c r="J27">
        <f t="shared" si="2"/>
        <v>5</v>
      </c>
      <c r="K27">
        <f t="shared" si="3"/>
        <v>4</v>
      </c>
      <c r="L27">
        <f>SUMIFS(Stats!I:I,Stats!F:F,A27)+SUMIFS(Stats!J:J,Stats!H:H,A27)</f>
        <v>313</v>
      </c>
      <c r="M27">
        <f t="shared" si="4"/>
        <v>18.411764705882351</v>
      </c>
      <c r="N27">
        <f>SUMIFS(Stats!I:I,Stats!H:H,A27)+SUMIFS(Stats!J:J,Stats!F:F,A27)</f>
        <v>459</v>
      </c>
      <c r="O27">
        <f t="shared" si="5"/>
        <v>27</v>
      </c>
      <c r="P27" s="15">
        <f t="shared" si="6"/>
        <v>-146</v>
      </c>
      <c r="Q27">
        <f t="shared" si="7"/>
        <v>-8.5882352941176467</v>
      </c>
      <c r="R27" s="15">
        <f>SUMIFS(Stats!K:K,Stats!F:F,A27)+SUMIFS(Stats!M:M,Stats!H:H,A27)</f>
        <v>5164</v>
      </c>
      <c r="S27" s="15">
        <f>SUMIFS(Stats!K:K,Stats!H:H,A27)+SUMIFS(Stats!M:M,Stats!F:F,A27)</f>
        <v>6194</v>
      </c>
      <c r="T27" s="15">
        <f t="shared" si="8"/>
        <v>303.76470588235293</v>
      </c>
      <c r="U27" s="15">
        <f t="shared" si="9"/>
        <v>364.35294117647061</v>
      </c>
      <c r="V27" s="15">
        <f t="shared" si="10"/>
        <v>-1030</v>
      </c>
      <c r="W27" s="15">
        <f t="shared" si="11"/>
        <v>-60.58823529411768</v>
      </c>
      <c r="X27" s="15">
        <f>SUMIFS(Stats!I:I,Stats!F:F,A27)</f>
        <v>171</v>
      </c>
      <c r="Y27" s="15">
        <f t="shared" si="12"/>
        <v>24.428571428571427</v>
      </c>
      <c r="Z27" s="15">
        <f>SUMIFS(Stats!J:J,Stats!F:F,A27)</f>
        <v>138</v>
      </c>
      <c r="AA27" s="15">
        <f t="shared" si="13"/>
        <v>19.714285714285715</v>
      </c>
      <c r="AB27" s="15">
        <f t="shared" si="14"/>
        <v>33</v>
      </c>
      <c r="AC27" s="15">
        <f t="shared" si="15"/>
        <v>4.7142857142857117</v>
      </c>
      <c r="AD27" s="15">
        <f>SUMIFS(Stats!J:J,Stats!H:H,A27)</f>
        <v>142</v>
      </c>
      <c r="AE27" s="18">
        <f t="shared" si="16"/>
        <v>14.2</v>
      </c>
      <c r="AF27" s="15">
        <f>SUMIFS(Stats!I:I,Stats!H:H,A27)</f>
        <v>321</v>
      </c>
      <c r="AG27" s="18">
        <f t="shared" si="17"/>
        <v>32.1</v>
      </c>
      <c r="AH27" s="15">
        <f t="shared" si="18"/>
        <v>-179</v>
      </c>
      <c r="AI27" s="18">
        <f t="shared" si="19"/>
        <v>-17.900000000000002</v>
      </c>
      <c r="AJ27" s="15">
        <f>_xlfn.MINIFS(Stats!O:O,Stats!F:F,A27)</f>
        <v>2</v>
      </c>
      <c r="AK27" s="15">
        <f>-_xlfn.MINIFS(Stats!O:O,Stats!H:H,A27)</f>
        <v>-4</v>
      </c>
      <c r="AL27" s="15">
        <f>_xlfn.MAXIFS(Stats!O:O,Stats!F:F,A27)</f>
        <v>8</v>
      </c>
      <c r="AM27" s="15">
        <f>-_xlfn.MAXIFS(Stats!O:O,Stats!H:H,A27)</f>
        <v>-40</v>
      </c>
      <c r="AN27" s="15">
        <f>_xlfn.MAXIFS(Stats!I:I,Stats!F:F,A27)</f>
        <v>30</v>
      </c>
      <c r="AO27" s="15">
        <f>IF(_xlfn.MINIFS(Stats!I:I,Stats!F:F,A27)&lt;_xlfn.MINIFS(Stats!J:J,Stats!H:H,A27),_xlfn.MINIFS(Stats!I:I,Stats!F:F,A27),_xlfn.MINIFS(Stats!J:J,Stats!H:H,A27))</f>
        <v>0</v>
      </c>
      <c r="AP27" s="15">
        <f>IF(_xlfn.MAXIFS(Stats!K:K,Stats!F:F,A27)&gt;_xlfn.MAXIFS(Stats!M:M,Stats!H:H,A27),_xlfn.MAXIFS(Stats!K:K,Stats!F:F,A27),_xlfn.MAXIFS(Stats!M:M,Stats!H:H,A27))</f>
        <v>450</v>
      </c>
      <c r="AQ27" s="15">
        <f>IF(_xlfn.MINIFS(Stats!M:M,Stats!H:H,A27)&lt;_xlfn.MINIFS(Stats!K:K,Stats!F:F,A27),_xlfn.MINIFS(Stats!M:M,Stats!H:H,A27),_xlfn.MINIFS(Stats!K:K,Stats!F:F,A27))</f>
        <v>165</v>
      </c>
      <c r="AR27" s="15">
        <f>SUMIFS(Stats!K:K,Stats!F:F,A27)/F27</f>
        <v>344.71428571428572</v>
      </c>
      <c r="AS27" s="15">
        <f>SUMIFS(Stats!M:M,Stats!F:F,A27)/F27</f>
        <v>342</v>
      </c>
      <c r="AT27" s="15">
        <f t="shared" si="20"/>
        <v>2.7142857142857224</v>
      </c>
      <c r="AU27" s="15">
        <f>SUMIFS(Stats!M:M,Stats!H:H,A27)/G27</f>
        <v>275.10000000000002</v>
      </c>
      <c r="AV27" s="15">
        <f>SUMIFS(Stats!K:K,Stats!H:H,A27)/G27</f>
        <v>380</v>
      </c>
      <c r="AW27" s="15">
        <f t="shared" si="21"/>
        <v>-104.89999999999998</v>
      </c>
      <c r="AX27" s="15">
        <f>(SUMIFS(Stats!I:I,Stats!E:E,"H",Stats!F:F,A27)+SUMIFS(Stats!J:J,Stats!H:H,A27,Stats!G:G,"H"))/(H27+I27)</f>
        <v>16.625</v>
      </c>
      <c r="AY27" s="15">
        <f>(SUMIFS(Stats!K:K,Stats!F:F,A27,Stats!E:E,"H")+SUMIFS(Stats!M:M,Stats!G:G,"H",Stats!H:H,A27))/(H27+I27)</f>
        <v>294.125</v>
      </c>
      <c r="AZ27" s="15">
        <f>(SUMIFS(Stats!I:I,Stats!E:E,"V",Stats!F:F,A27)+SUMIFS(Stats!J:J,Stats!H:H,A27,Stats!G:G,"V"))/(J27+K27)</f>
        <v>20</v>
      </c>
      <c r="BA27" s="15">
        <f>(SUMIFS(Stats!K:K,Stats!F:F,A27,Stats!E:E,"V")+SUMIFS(Stats!M:M,Stats!G:G,"V",Stats!H:H,A27))/(J27+K27)</f>
        <v>312.33333333333331</v>
      </c>
    </row>
    <row r="28" spans="1:53">
      <c r="A28" t="s">
        <v>28</v>
      </c>
      <c r="B28">
        <f t="shared" si="0"/>
        <v>0</v>
      </c>
      <c r="C28">
        <f t="shared" si="1"/>
        <v>0</v>
      </c>
      <c r="D28" t="s">
        <v>123</v>
      </c>
      <c r="E28" t="s">
        <v>127</v>
      </c>
      <c r="F28">
        <f>COUNTIF(Stats!F:F,A28)</f>
        <v>8</v>
      </c>
      <c r="G28">
        <f>COUNTIF(Stats!H:H,A28)</f>
        <v>9</v>
      </c>
      <c r="H28">
        <f>COUNTIFS(Stats!F:F,A28,Stats!E:E,"H")</f>
        <v>5</v>
      </c>
      <c r="I28">
        <f>COUNTIFS(Stats!H:H,A28,Stats!G:G,"H")</f>
        <v>3</v>
      </c>
      <c r="J28">
        <f t="shared" si="2"/>
        <v>3</v>
      </c>
      <c r="K28">
        <f t="shared" si="3"/>
        <v>6</v>
      </c>
      <c r="L28">
        <f>SUMIFS(Stats!I:I,Stats!F:F,A28)+SUMIFS(Stats!J:J,Stats!H:H,A28)</f>
        <v>425</v>
      </c>
      <c r="M28">
        <f t="shared" si="4"/>
        <v>25</v>
      </c>
      <c r="N28">
        <f>SUMIFS(Stats!I:I,Stats!H:H,A28)+SUMIFS(Stats!J:J,Stats!F:F,A28)</f>
        <v>426</v>
      </c>
      <c r="O28">
        <f t="shared" si="5"/>
        <v>25.058823529411764</v>
      </c>
      <c r="P28" s="15">
        <f t="shared" si="6"/>
        <v>-1</v>
      </c>
      <c r="Q28">
        <f t="shared" si="7"/>
        <v>-5.8823529411764705E-2</v>
      </c>
      <c r="R28" s="15">
        <f>SUMIFS(Stats!K:K,Stats!F:F,A28)+SUMIFS(Stats!M:M,Stats!H:H,A28)</f>
        <v>6168</v>
      </c>
      <c r="S28" s="15">
        <f>SUMIFS(Stats!K:K,Stats!H:H,A28)+SUMIFS(Stats!M:M,Stats!F:F,A28)</f>
        <v>6522</v>
      </c>
      <c r="T28" s="15">
        <f t="shared" si="8"/>
        <v>362.8235294117647</v>
      </c>
      <c r="U28" s="15">
        <f t="shared" si="9"/>
        <v>383.64705882352939</v>
      </c>
      <c r="V28" s="15">
        <f t="shared" si="10"/>
        <v>-354</v>
      </c>
      <c r="W28" s="15">
        <f t="shared" si="11"/>
        <v>-20.823529411764696</v>
      </c>
      <c r="X28" s="15">
        <f>SUMIFS(Stats!I:I,Stats!F:F,A28)</f>
        <v>228</v>
      </c>
      <c r="Y28" s="15">
        <f t="shared" si="12"/>
        <v>28.5</v>
      </c>
      <c r="Z28" s="15">
        <f>SUMIFS(Stats!J:J,Stats!F:F,A28)</f>
        <v>167</v>
      </c>
      <c r="AA28" s="15">
        <f t="shared" si="13"/>
        <v>20.875</v>
      </c>
      <c r="AB28" s="15">
        <f t="shared" si="14"/>
        <v>61</v>
      </c>
      <c r="AC28" s="15">
        <f t="shared" si="15"/>
        <v>7.625</v>
      </c>
      <c r="AD28" s="15">
        <f>SUMIFS(Stats!J:J,Stats!H:H,A28)</f>
        <v>197</v>
      </c>
      <c r="AE28" s="18">
        <f t="shared" si="16"/>
        <v>21.888888888888889</v>
      </c>
      <c r="AF28" s="15">
        <f>SUMIFS(Stats!I:I,Stats!H:H,A28)</f>
        <v>259</v>
      </c>
      <c r="AG28" s="18">
        <f t="shared" si="17"/>
        <v>28.777777777777779</v>
      </c>
      <c r="AH28" s="15">
        <f t="shared" si="18"/>
        <v>-62</v>
      </c>
      <c r="AI28" s="18">
        <f t="shared" si="19"/>
        <v>-6.8888888888888893</v>
      </c>
      <c r="AJ28" s="15">
        <f>_xlfn.MINIFS(Stats!O:O,Stats!F:F,A28)</f>
        <v>2</v>
      </c>
      <c r="AK28" s="15">
        <f>-_xlfn.MINIFS(Stats!O:O,Stats!H:H,A28)</f>
        <v>-1</v>
      </c>
      <c r="AL28" s="15">
        <f>_xlfn.MAXIFS(Stats!O:O,Stats!F:F,A28)</f>
        <v>14</v>
      </c>
      <c r="AM28" s="15">
        <f>-_xlfn.MAXIFS(Stats!O:O,Stats!H:H,A28)</f>
        <v>-27</v>
      </c>
      <c r="AN28" s="15">
        <f>_xlfn.MAXIFS(Stats!I:I,Stats!F:F,A28)</f>
        <v>36</v>
      </c>
      <c r="AO28" s="15">
        <f>IF(_xlfn.MINIFS(Stats!I:I,Stats!F:F,A28)&lt;_xlfn.MINIFS(Stats!J:J,Stats!H:H,A28),_xlfn.MINIFS(Stats!I:I,Stats!F:F,A28),_xlfn.MINIFS(Stats!J:J,Stats!H:H,A28))</f>
        <v>7</v>
      </c>
      <c r="AP28" s="15">
        <f>IF(_xlfn.MAXIFS(Stats!K:K,Stats!F:F,A28)&gt;_xlfn.MAXIFS(Stats!M:M,Stats!H:H,A28),_xlfn.MAXIFS(Stats!K:K,Stats!F:F,A28),_xlfn.MAXIFS(Stats!M:M,Stats!H:H,A28))</f>
        <v>571</v>
      </c>
      <c r="AQ28" s="15">
        <f>IF(_xlfn.MINIFS(Stats!M:M,Stats!H:H,A28)&lt;_xlfn.MINIFS(Stats!K:K,Stats!F:F,A28),_xlfn.MINIFS(Stats!M:M,Stats!H:H,A28),_xlfn.MINIFS(Stats!K:K,Stats!F:F,A28))</f>
        <v>193</v>
      </c>
      <c r="AR28" s="15">
        <f>SUMIFS(Stats!K:K,Stats!F:F,A28)/F28</f>
        <v>397.375</v>
      </c>
      <c r="AS28" s="15">
        <f>SUMIFS(Stats!M:M,Stats!F:F,A28)/F28</f>
        <v>350.5</v>
      </c>
      <c r="AT28" s="15">
        <f t="shared" si="20"/>
        <v>46.875</v>
      </c>
      <c r="AU28" s="15">
        <f>SUMIFS(Stats!M:M,Stats!H:H,A28)/G28</f>
        <v>332.11111111111109</v>
      </c>
      <c r="AV28" s="15">
        <f>SUMIFS(Stats!K:K,Stats!H:H,A28)/G28</f>
        <v>413.11111111111109</v>
      </c>
      <c r="AW28" s="15">
        <f t="shared" si="21"/>
        <v>-81</v>
      </c>
      <c r="AX28" s="15">
        <f>(SUMIFS(Stats!I:I,Stats!E:E,"H",Stats!F:F,A28)+SUMIFS(Stats!J:J,Stats!H:H,A28,Stats!G:G,"H"))/(H28+I28)</f>
        <v>24.5</v>
      </c>
      <c r="AY28" s="15">
        <f>(SUMIFS(Stats!K:K,Stats!F:F,A28,Stats!E:E,"H")+SUMIFS(Stats!M:M,Stats!G:G,"H",Stats!H:H,A28))/(H28+I28)</f>
        <v>366</v>
      </c>
      <c r="AZ28" s="15">
        <f>(SUMIFS(Stats!I:I,Stats!E:E,"V",Stats!F:F,A28)+SUMIFS(Stats!J:J,Stats!H:H,A28,Stats!G:G,"V"))/(J28+K28)</f>
        <v>25.444444444444443</v>
      </c>
      <c r="BA28" s="15">
        <f>(SUMIFS(Stats!K:K,Stats!F:F,A28,Stats!E:E,"V")+SUMIFS(Stats!M:M,Stats!G:G,"V",Stats!H:H,A28))/(J28+K28)</f>
        <v>360</v>
      </c>
    </row>
    <row r="29" spans="1:53">
      <c r="A29" t="s">
        <v>30</v>
      </c>
      <c r="B29">
        <f t="shared" si="0"/>
        <v>0</v>
      </c>
      <c r="C29">
        <f t="shared" si="1"/>
        <v>0</v>
      </c>
      <c r="D29" t="s">
        <v>126</v>
      </c>
      <c r="E29" t="s">
        <v>124</v>
      </c>
      <c r="F29">
        <f>COUNTIF(Stats!F:F,A29)</f>
        <v>9</v>
      </c>
      <c r="G29">
        <f>COUNTIF(Stats!H:H,A29)</f>
        <v>8</v>
      </c>
      <c r="H29">
        <f>COUNTIFS(Stats!F:F,A29,Stats!E:E,"H")</f>
        <v>4</v>
      </c>
      <c r="I29">
        <f>COUNTIFS(Stats!H:H,A29,Stats!G:G,"H")</f>
        <v>5</v>
      </c>
      <c r="J29">
        <f t="shared" si="2"/>
        <v>5</v>
      </c>
      <c r="K29">
        <f t="shared" si="3"/>
        <v>3</v>
      </c>
      <c r="L29">
        <f>SUMIFS(Stats!I:I,Stats!F:F,A29)+SUMIFS(Stats!J:J,Stats!H:H,A29)</f>
        <v>451</v>
      </c>
      <c r="M29">
        <f t="shared" si="4"/>
        <v>26.529411764705884</v>
      </c>
      <c r="N29">
        <f>SUMIFS(Stats!I:I,Stats!H:H,A29)+SUMIFS(Stats!J:J,Stats!F:F,A29)</f>
        <v>365</v>
      </c>
      <c r="O29">
        <f t="shared" si="5"/>
        <v>21.470588235294116</v>
      </c>
      <c r="P29" s="15">
        <f t="shared" si="6"/>
        <v>86</v>
      </c>
      <c r="Q29">
        <f t="shared" si="7"/>
        <v>5.0588235294117645</v>
      </c>
      <c r="R29" s="15">
        <f>SUMIFS(Stats!K:K,Stats!F:F,A29)+SUMIFS(Stats!M:M,Stats!H:H,A29)</f>
        <v>5901</v>
      </c>
      <c r="S29" s="15">
        <f>SUMIFS(Stats!K:K,Stats!H:H,A29)+SUMIFS(Stats!M:M,Stats!F:F,A29)</f>
        <v>5834</v>
      </c>
      <c r="T29" s="15">
        <f t="shared" si="8"/>
        <v>347.11764705882354</v>
      </c>
      <c r="U29" s="15">
        <f t="shared" si="9"/>
        <v>343.1764705882353</v>
      </c>
      <c r="V29" s="15">
        <f t="shared" si="10"/>
        <v>67</v>
      </c>
      <c r="W29" s="15">
        <f t="shared" si="11"/>
        <v>3.941176470588232</v>
      </c>
      <c r="X29" s="15">
        <f>SUMIFS(Stats!I:I,Stats!F:F,A29)</f>
        <v>277</v>
      </c>
      <c r="Y29" s="15">
        <f t="shared" si="12"/>
        <v>30.777777777777779</v>
      </c>
      <c r="Z29" s="15">
        <f>SUMIFS(Stats!J:J,Stats!F:F,A29)</f>
        <v>133</v>
      </c>
      <c r="AA29" s="15">
        <f t="shared" si="13"/>
        <v>14.777777777777779</v>
      </c>
      <c r="AB29" s="15">
        <f t="shared" si="14"/>
        <v>144</v>
      </c>
      <c r="AC29" s="15">
        <f t="shared" si="15"/>
        <v>16</v>
      </c>
      <c r="AD29" s="15">
        <f>SUMIFS(Stats!J:J,Stats!H:H,A29)</f>
        <v>174</v>
      </c>
      <c r="AE29" s="18">
        <f t="shared" si="16"/>
        <v>21.75</v>
      </c>
      <c r="AF29" s="15">
        <f>SUMIFS(Stats!I:I,Stats!H:H,A29)</f>
        <v>232</v>
      </c>
      <c r="AG29" s="18">
        <f t="shared" si="17"/>
        <v>29</v>
      </c>
      <c r="AH29" s="15">
        <f t="shared" si="18"/>
        <v>-58</v>
      </c>
      <c r="AI29" s="18">
        <f t="shared" si="19"/>
        <v>-7.25</v>
      </c>
      <c r="AJ29" s="15">
        <f>_xlfn.MINIFS(Stats!O:O,Stats!F:F,A29)</f>
        <v>6</v>
      </c>
      <c r="AK29" s="15">
        <f>-_xlfn.MINIFS(Stats!O:O,Stats!H:H,A29)</f>
        <v>-3</v>
      </c>
      <c r="AL29" s="15">
        <f>_xlfn.MAXIFS(Stats!O:O,Stats!F:F,A29)</f>
        <v>31</v>
      </c>
      <c r="AM29" s="15">
        <f>-_xlfn.MAXIFS(Stats!O:O,Stats!H:H,A29)</f>
        <v>-15</v>
      </c>
      <c r="AN29" s="15">
        <f>_xlfn.MAXIFS(Stats!I:I,Stats!F:F,A29)</f>
        <v>45</v>
      </c>
      <c r="AO29" s="15">
        <f>IF(_xlfn.MINIFS(Stats!I:I,Stats!F:F,A29)&lt;_xlfn.MINIFS(Stats!J:J,Stats!H:H,A29),_xlfn.MINIFS(Stats!I:I,Stats!F:F,A29),_xlfn.MINIFS(Stats!J:J,Stats!H:H,A29))</f>
        <v>11</v>
      </c>
      <c r="AP29" s="15">
        <f>IF(_xlfn.MAXIFS(Stats!K:K,Stats!F:F,A29)&gt;_xlfn.MAXIFS(Stats!M:M,Stats!H:H,A29),_xlfn.MAXIFS(Stats!K:K,Stats!F:F,A29),_xlfn.MAXIFS(Stats!M:M,Stats!H:H,A29))</f>
        <v>532</v>
      </c>
      <c r="AQ29" s="15">
        <f>IF(_xlfn.MINIFS(Stats!M:M,Stats!H:H,A29)&lt;_xlfn.MINIFS(Stats!K:K,Stats!F:F,A29),_xlfn.MINIFS(Stats!M:M,Stats!H:H,A29),_xlfn.MINIFS(Stats!K:K,Stats!F:F,A29))</f>
        <v>233</v>
      </c>
      <c r="AR29" s="15">
        <f>SUMIFS(Stats!K:K,Stats!F:F,A29)/F29</f>
        <v>359.88888888888891</v>
      </c>
      <c r="AS29" s="15">
        <f>SUMIFS(Stats!M:M,Stats!F:F,A29)/F29</f>
        <v>316.44444444444446</v>
      </c>
      <c r="AT29" s="15">
        <f t="shared" si="20"/>
        <v>43.444444444444457</v>
      </c>
      <c r="AU29" s="15">
        <f>SUMIFS(Stats!M:M,Stats!H:H,A29)/G29</f>
        <v>332.75</v>
      </c>
      <c r="AV29" s="15">
        <f>SUMIFS(Stats!K:K,Stats!H:H,A29)/G29</f>
        <v>373.25</v>
      </c>
      <c r="AW29" s="15">
        <f t="shared" si="21"/>
        <v>-40.5</v>
      </c>
      <c r="AX29" s="15">
        <f>(SUMIFS(Stats!I:I,Stats!E:E,"H",Stats!F:F,A29)+SUMIFS(Stats!J:J,Stats!H:H,A29,Stats!G:G,"H"))/(H29+I29)</f>
        <v>27.555555555555557</v>
      </c>
      <c r="AY29" s="15">
        <f>(SUMIFS(Stats!K:K,Stats!F:F,A29,Stats!E:E,"H")+SUMIFS(Stats!M:M,Stats!G:G,"H",Stats!H:H,A29))/(H29+I29)</f>
        <v>349</v>
      </c>
      <c r="AZ29" s="15">
        <f>(SUMIFS(Stats!I:I,Stats!E:E,"V",Stats!F:F,A29)+SUMIFS(Stats!J:J,Stats!H:H,A29,Stats!G:G,"V"))/(J29+K29)</f>
        <v>25.375</v>
      </c>
      <c r="BA29" s="15">
        <f>(SUMIFS(Stats!K:K,Stats!F:F,A29,Stats!E:E,"V")+SUMIFS(Stats!M:M,Stats!G:G,"V",Stats!H:H,A29))/(J29+K29)</f>
        <v>345</v>
      </c>
    </row>
    <row r="30" spans="1:53">
      <c r="A30" t="s">
        <v>43</v>
      </c>
      <c r="B30">
        <f t="shared" si="0"/>
        <v>0</v>
      </c>
      <c r="C30">
        <f t="shared" si="1"/>
        <v>2</v>
      </c>
      <c r="D30" t="s">
        <v>123</v>
      </c>
      <c r="E30" t="s">
        <v>125</v>
      </c>
      <c r="F30">
        <f>COUNTIF(Stats!F:F,A30)</f>
        <v>4</v>
      </c>
      <c r="G30">
        <f>COUNTIF(Stats!H:H,A30)</f>
        <v>13</v>
      </c>
      <c r="H30">
        <f>COUNTIFS(Stats!F:F,A30,Stats!E:E,"H")</f>
        <v>3</v>
      </c>
      <c r="I30">
        <f>COUNTIFS(Stats!H:H,A30,Stats!G:G,"H")</f>
        <v>5</v>
      </c>
      <c r="J30">
        <f t="shared" si="2"/>
        <v>1</v>
      </c>
      <c r="K30">
        <f t="shared" si="3"/>
        <v>8</v>
      </c>
      <c r="L30">
        <f>SUMIFS(Stats!I:I,Stats!F:F,A30)+SUMIFS(Stats!J:J,Stats!H:H,A30)</f>
        <v>258</v>
      </c>
      <c r="M30">
        <f t="shared" si="4"/>
        <v>15.176470588235293</v>
      </c>
      <c r="N30">
        <f>SUMIFS(Stats!I:I,Stats!H:H,A30)+SUMIFS(Stats!J:J,Stats!F:F,A30)</f>
        <v>416</v>
      </c>
      <c r="O30">
        <f t="shared" si="5"/>
        <v>24.470588235294116</v>
      </c>
      <c r="P30" s="15">
        <f t="shared" si="6"/>
        <v>-158</v>
      </c>
      <c r="Q30">
        <f t="shared" si="7"/>
        <v>-9.2941176470588243</v>
      </c>
      <c r="R30" s="15">
        <f>SUMIFS(Stats!K:K,Stats!F:F,A30)+SUMIFS(Stats!M:M,Stats!H:H,A30)</f>
        <v>4884</v>
      </c>
      <c r="S30" s="15">
        <f>SUMIFS(Stats!K:K,Stats!H:H,A30)+SUMIFS(Stats!M:M,Stats!F:F,A30)</f>
        <v>6032</v>
      </c>
      <c r="T30" s="15">
        <f t="shared" si="8"/>
        <v>287.29411764705884</v>
      </c>
      <c r="U30" s="15">
        <f t="shared" si="9"/>
        <v>354.8235294117647</v>
      </c>
      <c r="V30" s="15">
        <f t="shared" si="10"/>
        <v>-1148</v>
      </c>
      <c r="W30" s="15">
        <f t="shared" si="11"/>
        <v>-67.529411764705856</v>
      </c>
      <c r="X30" s="15">
        <f>SUMIFS(Stats!I:I,Stats!F:F,A30)</f>
        <v>88</v>
      </c>
      <c r="Y30" s="15">
        <f t="shared" si="12"/>
        <v>22</v>
      </c>
      <c r="Z30" s="15">
        <f>SUMIFS(Stats!J:J,Stats!F:F,A30)</f>
        <v>47</v>
      </c>
      <c r="AA30" s="15">
        <f t="shared" si="13"/>
        <v>11.75</v>
      </c>
      <c r="AB30" s="15">
        <f t="shared" si="14"/>
        <v>41</v>
      </c>
      <c r="AC30" s="15">
        <f t="shared" si="15"/>
        <v>10.25</v>
      </c>
      <c r="AD30" s="15">
        <f>SUMIFS(Stats!J:J,Stats!H:H,A30)</f>
        <v>170</v>
      </c>
      <c r="AE30" s="18">
        <f t="shared" si="16"/>
        <v>13.076923076923077</v>
      </c>
      <c r="AF30" s="15">
        <f>SUMIFS(Stats!I:I,Stats!H:H,A30)</f>
        <v>369</v>
      </c>
      <c r="AG30" s="18">
        <f t="shared" si="17"/>
        <v>28.384615384615383</v>
      </c>
      <c r="AH30" s="15">
        <f t="shared" si="18"/>
        <v>-199</v>
      </c>
      <c r="AI30" s="18">
        <f t="shared" si="19"/>
        <v>-15.307692307692307</v>
      </c>
      <c r="AJ30" s="15">
        <f>_xlfn.MINIFS(Stats!O:O,Stats!F:F,A30)</f>
        <v>6</v>
      </c>
      <c r="AK30" s="15">
        <f>-_xlfn.MINIFS(Stats!O:O,Stats!H:H,A30)</f>
        <v>-1</v>
      </c>
      <c r="AL30" s="15">
        <f>_xlfn.MAXIFS(Stats!O:O,Stats!F:F,A30)</f>
        <v>22</v>
      </c>
      <c r="AM30" s="15">
        <f>-_xlfn.MAXIFS(Stats!O:O,Stats!H:H,A30)</f>
        <v>-27</v>
      </c>
      <c r="AN30" s="15">
        <f>_xlfn.MAXIFS(Stats!I:I,Stats!F:F,A30)</f>
        <v>27</v>
      </c>
      <c r="AO30" s="15">
        <f>IF(_xlfn.MINIFS(Stats!I:I,Stats!F:F,A30)&lt;_xlfn.MINIFS(Stats!J:J,Stats!H:H,A30),_xlfn.MINIFS(Stats!I:I,Stats!F:F,A30),_xlfn.MINIFS(Stats!J:J,Stats!H:H,A30))</f>
        <v>3</v>
      </c>
      <c r="AP30" s="15">
        <f>IF(_xlfn.MAXIFS(Stats!K:K,Stats!F:F,A30)&gt;_xlfn.MAXIFS(Stats!M:M,Stats!H:H,A30),_xlfn.MAXIFS(Stats!K:K,Stats!F:F,A30),_xlfn.MAXIFS(Stats!M:M,Stats!H:H,A30))</f>
        <v>485</v>
      </c>
      <c r="AQ30" s="15">
        <f>IF(_xlfn.MINIFS(Stats!M:M,Stats!H:H,A30)&lt;_xlfn.MINIFS(Stats!K:K,Stats!F:F,A30),_xlfn.MINIFS(Stats!M:M,Stats!H:H,A30),_xlfn.MINIFS(Stats!K:K,Stats!F:F,A30))</f>
        <v>155</v>
      </c>
      <c r="AR30" s="15">
        <f>SUMIFS(Stats!K:K,Stats!F:F,A30)/F30</f>
        <v>324.5</v>
      </c>
      <c r="AS30" s="15">
        <f>SUMIFS(Stats!M:M,Stats!F:F,A30)/F30</f>
        <v>328.25</v>
      </c>
      <c r="AT30" s="15">
        <f t="shared" si="20"/>
        <v>-3.75</v>
      </c>
      <c r="AU30" s="15">
        <f>SUMIFS(Stats!M:M,Stats!H:H,A30)/G30</f>
        <v>275.84615384615387</v>
      </c>
      <c r="AV30" s="15">
        <f>SUMIFS(Stats!K:K,Stats!H:H,A30)/G30</f>
        <v>363</v>
      </c>
      <c r="AW30" s="15">
        <f t="shared" si="21"/>
        <v>-87.153846153846132</v>
      </c>
      <c r="AX30" s="15">
        <f>(SUMIFS(Stats!I:I,Stats!E:E,"H",Stats!F:F,A30)+SUMIFS(Stats!J:J,Stats!H:H,A30,Stats!G:G,"H"))/(H30+I30)</f>
        <v>14</v>
      </c>
      <c r="AY30" s="15">
        <f>(SUMIFS(Stats!K:K,Stats!F:F,A30,Stats!E:E,"H")+SUMIFS(Stats!M:M,Stats!G:G,"H",Stats!H:H,A30))/(H30+I30)</f>
        <v>276.625</v>
      </c>
      <c r="AZ30" s="15">
        <f>(SUMIFS(Stats!I:I,Stats!E:E,"V",Stats!F:F,A30)+SUMIFS(Stats!J:J,Stats!H:H,A30,Stats!G:G,"V"))/(J30+K30)</f>
        <v>16.222222222222221</v>
      </c>
      <c r="BA30" s="15">
        <f>(SUMIFS(Stats!K:K,Stats!F:F,A30,Stats!E:E,"V")+SUMIFS(Stats!M:M,Stats!G:G,"V",Stats!H:H,A30))/(J30+K30)</f>
        <v>296.77777777777777</v>
      </c>
    </row>
    <row r="31" spans="1:53">
      <c r="A31" t="s">
        <v>26</v>
      </c>
      <c r="B31">
        <f t="shared" si="0"/>
        <v>0</v>
      </c>
      <c r="C31">
        <f t="shared" si="1"/>
        <v>8</v>
      </c>
      <c r="D31" t="s">
        <v>126</v>
      </c>
      <c r="E31" t="s">
        <v>125</v>
      </c>
      <c r="F31">
        <f>COUNTIF(Stats!F:F,A31)</f>
        <v>4</v>
      </c>
      <c r="G31">
        <f>COUNTIF(Stats!H:H,A31)</f>
        <v>13</v>
      </c>
      <c r="H31">
        <f>COUNTIFS(Stats!F:F,A31,Stats!E:E,"H")</f>
        <v>3</v>
      </c>
      <c r="I31">
        <f>COUNTIFS(Stats!H:H,A31,Stats!G:G,"H")</f>
        <v>6</v>
      </c>
      <c r="J31">
        <f t="shared" si="2"/>
        <v>1</v>
      </c>
      <c r="K31">
        <f t="shared" si="3"/>
        <v>7</v>
      </c>
      <c r="L31">
        <f>SUMIFS(Stats!I:I,Stats!F:F,A31)+SUMIFS(Stats!J:J,Stats!H:H,A31)</f>
        <v>310</v>
      </c>
      <c r="M31">
        <f t="shared" si="4"/>
        <v>18.235294117647058</v>
      </c>
      <c r="N31">
        <f>SUMIFS(Stats!I:I,Stats!H:H,A31)+SUMIFS(Stats!J:J,Stats!F:F,A31)</f>
        <v>504</v>
      </c>
      <c r="O31">
        <f t="shared" si="5"/>
        <v>29.647058823529413</v>
      </c>
      <c r="P31" s="15">
        <f t="shared" si="6"/>
        <v>-194</v>
      </c>
      <c r="Q31">
        <f t="shared" si="7"/>
        <v>-11.411764705882353</v>
      </c>
      <c r="R31" s="15">
        <f>SUMIFS(Stats!K:K,Stats!F:F,A31)+SUMIFS(Stats!M:M,Stats!H:H,A31)</f>
        <v>5208</v>
      </c>
      <c r="S31" s="15">
        <f>SUMIFS(Stats!K:K,Stats!H:H,A31)+SUMIFS(Stats!M:M,Stats!F:F,A31)</f>
        <v>6760</v>
      </c>
      <c r="T31" s="15">
        <f t="shared" si="8"/>
        <v>306.35294117647061</v>
      </c>
      <c r="U31" s="15">
        <f t="shared" si="9"/>
        <v>397.64705882352939</v>
      </c>
      <c r="V31" s="15">
        <f t="shared" si="10"/>
        <v>-1552</v>
      </c>
      <c r="W31" s="15">
        <f t="shared" si="11"/>
        <v>-91.294117647058783</v>
      </c>
      <c r="X31" s="15">
        <f>SUMIFS(Stats!I:I,Stats!F:F,A31)</f>
        <v>108</v>
      </c>
      <c r="Y31" s="15">
        <f t="shared" si="12"/>
        <v>27</v>
      </c>
      <c r="Z31" s="15">
        <f>SUMIFS(Stats!J:J,Stats!F:F,A31)</f>
        <v>90</v>
      </c>
      <c r="AA31" s="15">
        <f t="shared" si="13"/>
        <v>22.5</v>
      </c>
      <c r="AB31" s="15">
        <f t="shared" si="14"/>
        <v>18</v>
      </c>
      <c r="AC31" s="15">
        <f t="shared" si="15"/>
        <v>4.5</v>
      </c>
      <c r="AD31" s="15">
        <f>SUMIFS(Stats!J:J,Stats!H:H,A31)</f>
        <v>202</v>
      </c>
      <c r="AE31" s="18">
        <f t="shared" si="16"/>
        <v>15.538461538461538</v>
      </c>
      <c r="AF31" s="15">
        <f>SUMIFS(Stats!I:I,Stats!H:H,A31)</f>
        <v>414</v>
      </c>
      <c r="AG31" s="18">
        <f t="shared" si="17"/>
        <v>31.846153846153847</v>
      </c>
      <c r="AH31" s="15">
        <f t="shared" si="18"/>
        <v>-212</v>
      </c>
      <c r="AI31" s="18">
        <f t="shared" si="19"/>
        <v>-16.307692307692307</v>
      </c>
      <c r="AJ31" s="15">
        <f>_xlfn.MINIFS(Stats!O:O,Stats!F:F,A31)</f>
        <v>3</v>
      </c>
      <c r="AK31" s="15">
        <f>-_xlfn.MINIFS(Stats!O:O,Stats!H:H,A31)</f>
        <v>-4</v>
      </c>
      <c r="AL31" s="15">
        <f>_xlfn.MAXIFS(Stats!O:O,Stats!F:F,A31)</f>
        <v>7</v>
      </c>
      <c r="AM31" s="15">
        <f>-_xlfn.MAXIFS(Stats!O:O,Stats!H:H,A31)</f>
        <v>-41</v>
      </c>
      <c r="AN31" s="15">
        <f>_xlfn.MAXIFS(Stats!I:I,Stats!F:F,A31)</f>
        <v>34</v>
      </c>
      <c r="AO31" s="15">
        <f>IF(_xlfn.MINIFS(Stats!I:I,Stats!F:F,A31)&lt;_xlfn.MINIFS(Stats!J:J,Stats!H:H,A31),_xlfn.MINIFS(Stats!I:I,Stats!F:F,A31),_xlfn.MINIFS(Stats!J:J,Stats!H:H,A31))</f>
        <v>0</v>
      </c>
      <c r="AP31" s="15">
        <f>IF(_xlfn.MAXIFS(Stats!K:K,Stats!F:F,A31)&gt;_xlfn.MAXIFS(Stats!M:M,Stats!H:H,A31),_xlfn.MAXIFS(Stats!K:K,Stats!F:F,A31),_xlfn.MAXIFS(Stats!M:M,Stats!H:H,A31))</f>
        <v>511</v>
      </c>
      <c r="AQ31" s="15">
        <f>IF(_xlfn.MINIFS(Stats!M:M,Stats!H:H,A31)&lt;_xlfn.MINIFS(Stats!K:K,Stats!F:F,A31),_xlfn.MINIFS(Stats!M:M,Stats!H:H,A31),_xlfn.MINIFS(Stats!K:K,Stats!F:F,A31))</f>
        <v>53</v>
      </c>
      <c r="AR31" s="15">
        <f>SUMIFS(Stats!K:K,Stats!F:F,A31)/F31</f>
        <v>376.25</v>
      </c>
      <c r="AS31" s="15">
        <f>SUMIFS(Stats!M:M,Stats!F:F,A31)/F31</f>
        <v>333.5</v>
      </c>
      <c r="AT31" s="15">
        <f t="shared" si="20"/>
        <v>42.75</v>
      </c>
      <c r="AU31" s="15">
        <f>SUMIFS(Stats!M:M,Stats!H:H,A31)/G31</f>
        <v>284.84615384615387</v>
      </c>
      <c r="AV31" s="15">
        <f>SUMIFS(Stats!K:K,Stats!H:H,A31)/G31</f>
        <v>417.38461538461536</v>
      </c>
      <c r="AW31" s="15">
        <f t="shared" si="21"/>
        <v>-132.53846153846149</v>
      </c>
      <c r="AX31" s="15">
        <f>(SUMIFS(Stats!I:I,Stats!E:E,"H",Stats!F:F,A31)+SUMIFS(Stats!J:J,Stats!H:H,A31,Stats!G:G,"H"))/(H31+I31)</f>
        <v>19.777777777777779</v>
      </c>
      <c r="AY31" s="15">
        <f>(SUMIFS(Stats!K:K,Stats!F:F,A31,Stats!E:E,"H")+SUMIFS(Stats!M:M,Stats!G:G,"H",Stats!H:H,A31))/(H31+I31)</f>
        <v>359.11111111111109</v>
      </c>
      <c r="AZ31" s="15">
        <f>(SUMIFS(Stats!I:I,Stats!E:E,"V",Stats!F:F,A31)+SUMIFS(Stats!J:J,Stats!H:H,A31,Stats!G:G,"V"))/(J31+K31)</f>
        <v>16.5</v>
      </c>
      <c r="BA31" s="15">
        <f>(SUMIFS(Stats!K:K,Stats!F:F,A31,Stats!E:E,"V")+SUMIFS(Stats!M:M,Stats!G:G,"V",Stats!H:H,A31))/(J31+K31)</f>
        <v>247</v>
      </c>
    </row>
    <row r="32" spans="1:53">
      <c r="A32" t="s">
        <v>36</v>
      </c>
      <c r="B32">
        <f t="shared" si="0"/>
        <v>1</v>
      </c>
      <c r="C32">
        <f t="shared" si="1"/>
        <v>12</v>
      </c>
      <c r="D32" t="s">
        <v>126</v>
      </c>
      <c r="E32" t="s">
        <v>124</v>
      </c>
      <c r="F32">
        <f>COUNTIF(Stats!F:F,A32)</f>
        <v>3</v>
      </c>
      <c r="G32">
        <f>COUNTIF(Stats!H:H,A32)</f>
        <v>14</v>
      </c>
      <c r="H32">
        <f>COUNTIFS(Stats!F:F,A32,Stats!E:E,"H")</f>
        <v>3</v>
      </c>
      <c r="I32">
        <f>COUNTIFS(Stats!H:H,A32,Stats!G:G,"H")</f>
        <v>6</v>
      </c>
      <c r="J32">
        <f t="shared" si="2"/>
        <v>0</v>
      </c>
      <c r="K32">
        <f t="shared" si="3"/>
        <v>8</v>
      </c>
      <c r="L32">
        <f>SUMIFS(Stats!I:I,Stats!F:F,A32)+SUMIFS(Stats!J:J,Stats!H:H,A32)</f>
        <v>253</v>
      </c>
      <c r="M32">
        <f t="shared" si="4"/>
        <v>14.882352941176471</v>
      </c>
      <c r="N32">
        <f>SUMIFS(Stats!I:I,Stats!H:H,A32)+SUMIFS(Stats!J:J,Stats!F:F,A32)</f>
        <v>457</v>
      </c>
      <c r="O32">
        <f t="shared" si="5"/>
        <v>26.882352941176471</v>
      </c>
      <c r="P32" s="15">
        <f t="shared" si="6"/>
        <v>-204</v>
      </c>
      <c r="Q32">
        <f t="shared" si="7"/>
        <v>-12</v>
      </c>
      <c r="R32" s="15">
        <f>SUMIFS(Stats!K:K,Stats!F:F,A32)+SUMIFS(Stats!M:M,Stats!H:H,A32)</f>
        <v>5191</v>
      </c>
      <c r="S32" s="15">
        <f>SUMIFS(Stats!K:K,Stats!H:H,A32)+SUMIFS(Stats!M:M,Stats!F:F,A32)</f>
        <v>6002</v>
      </c>
      <c r="T32" s="15">
        <f t="shared" si="8"/>
        <v>305.35294117647061</v>
      </c>
      <c r="U32" s="15">
        <f t="shared" si="9"/>
        <v>353.05882352941177</v>
      </c>
      <c r="V32" s="15">
        <f t="shared" si="10"/>
        <v>-811</v>
      </c>
      <c r="W32" s="15">
        <f t="shared" si="11"/>
        <v>-47.70588235294116</v>
      </c>
      <c r="X32" s="15">
        <f>SUMIFS(Stats!I:I,Stats!F:F,A32)</f>
        <v>58</v>
      </c>
      <c r="Y32" s="15">
        <f t="shared" si="12"/>
        <v>19.333333333333332</v>
      </c>
      <c r="Z32" s="15">
        <f>SUMIFS(Stats!J:J,Stats!F:F,A32)</f>
        <v>37</v>
      </c>
      <c r="AA32" s="15">
        <f t="shared" si="13"/>
        <v>12.333333333333334</v>
      </c>
      <c r="AB32" s="15">
        <f t="shared" si="14"/>
        <v>21</v>
      </c>
      <c r="AC32" s="15">
        <f t="shared" si="15"/>
        <v>6.9999999999999982</v>
      </c>
      <c r="AD32" s="15">
        <f>SUMIFS(Stats!J:J,Stats!H:H,A32)</f>
        <v>195</v>
      </c>
      <c r="AE32" s="18">
        <f t="shared" si="16"/>
        <v>13.928571428571429</v>
      </c>
      <c r="AF32" s="15">
        <f>SUMIFS(Stats!I:I,Stats!H:H,A32)</f>
        <v>420</v>
      </c>
      <c r="AG32" s="18">
        <f t="shared" si="17"/>
        <v>30</v>
      </c>
      <c r="AH32" s="15">
        <f t="shared" si="18"/>
        <v>-225</v>
      </c>
      <c r="AI32" s="18">
        <f t="shared" si="19"/>
        <v>-16.071428571428569</v>
      </c>
      <c r="AJ32" s="15">
        <f>_xlfn.MINIFS(Stats!O:O,Stats!F:F,A32)</f>
        <v>3</v>
      </c>
      <c r="AK32" s="15">
        <f>-_xlfn.MINIFS(Stats!O:O,Stats!H:H,A32)</f>
        <v>-3</v>
      </c>
      <c r="AL32" s="15">
        <f>_xlfn.MAXIFS(Stats!O:O,Stats!F:F,A32)</f>
        <v>15</v>
      </c>
      <c r="AM32" s="15">
        <f>-_xlfn.MAXIFS(Stats!O:O,Stats!H:H,A32)</f>
        <v>-40</v>
      </c>
      <c r="AN32" s="15">
        <f>_xlfn.MAXIFS(Stats!I:I,Stats!F:F,A32)</f>
        <v>26</v>
      </c>
      <c r="AO32" s="15">
        <f>IF(_xlfn.MINIFS(Stats!I:I,Stats!F:F,A32)&lt;_xlfn.MINIFS(Stats!J:J,Stats!H:H,A32),_xlfn.MINIFS(Stats!I:I,Stats!F:F,A32),_xlfn.MINIFS(Stats!J:J,Stats!H:H,A32))</f>
        <v>0</v>
      </c>
      <c r="AP32" s="15">
        <f>IF(_xlfn.MAXIFS(Stats!K:K,Stats!F:F,A32)&gt;_xlfn.MAXIFS(Stats!M:M,Stats!H:H,A32),_xlfn.MAXIFS(Stats!K:K,Stats!F:F,A32),_xlfn.MAXIFS(Stats!M:M,Stats!H:H,A32))</f>
        <v>454</v>
      </c>
      <c r="AQ32" s="15">
        <f>IF(_xlfn.MINIFS(Stats!M:M,Stats!H:H,A32)&lt;_xlfn.MINIFS(Stats!K:K,Stats!F:F,A32),_xlfn.MINIFS(Stats!M:M,Stats!H:H,A32),_xlfn.MINIFS(Stats!K:K,Stats!F:F,A32))</f>
        <v>189</v>
      </c>
      <c r="AR32" s="15">
        <f>SUMIFS(Stats!K:K,Stats!F:F,A32)/F32</f>
        <v>310.66666666666669</v>
      </c>
      <c r="AS32" s="15">
        <f>SUMIFS(Stats!M:M,Stats!F:F,A32)/F32</f>
        <v>321.66666666666669</v>
      </c>
      <c r="AT32" s="15">
        <f t="shared" si="20"/>
        <v>-11</v>
      </c>
      <c r="AU32" s="15">
        <f>SUMIFS(Stats!M:M,Stats!H:H,A32)/G32</f>
        <v>304.21428571428572</v>
      </c>
      <c r="AV32" s="15">
        <f>SUMIFS(Stats!K:K,Stats!H:H,A32)/G32</f>
        <v>359.78571428571428</v>
      </c>
      <c r="AW32" s="15">
        <f t="shared" si="21"/>
        <v>-55.571428571428555</v>
      </c>
      <c r="AX32" s="15">
        <f>(SUMIFS(Stats!I:I,Stats!E:E,"H",Stats!F:F,A32)+SUMIFS(Stats!J:J,Stats!H:H,A32,Stats!G:G,"H"))/(H32+I32)</f>
        <v>16.555555555555557</v>
      </c>
      <c r="AY32" s="15">
        <f>(SUMIFS(Stats!K:K,Stats!F:F,A32,Stats!E:E,"H")+SUMIFS(Stats!M:M,Stats!G:G,"H",Stats!H:H,A32))/(H32+I32)</f>
        <v>309.88888888888891</v>
      </c>
      <c r="AZ32" s="15">
        <f>(SUMIFS(Stats!I:I,Stats!E:E,"V",Stats!F:F,A32)+SUMIFS(Stats!J:J,Stats!H:H,A32,Stats!G:G,"V"))/(J32+K32)</f>
        <v>13</v>
      </c>
      <c r="BA32" s="15">
        <f>(SUMIFS(Stats!K:K,Stats!F:F,A32,Stats!E:E,"V")+SUMIFS(Stats!M:M,Stats!G:G,"V",Stats!H:H,A32))/(J32+K32)</f>
        <v>300.25</v>
      </c>
    </row>
    <row r="33" spans="1:53">
      <c r="A33" t="s">
        <v>34</v>
      </c>
      <c r="B33">
        <f t="shared" si="0"/>
        <v>1</v>
      </c>
      <c r="C33">
        <f t="shared" si="1"/>
        <v>3</v>
      </c>
      <c r="D33" t="s">
        <v>123</v>
      </c>
      <c r="E33" t="s">
        <v>127</v>
      </c>
      <c r="F33">
        <f>COUNTIF(Stats!F:F,A33)</f>
        <v>3</v>
      </c>
      <c r="G33">
        <f>COUNTIF(Stats!H:H,A33)</f>
        <v>14</v>
      </c>
      <c r="H33">
        <f>COUNTIFS(Stats!F:F,A33,Stats!E:E,"H")</f>
        <v>3</v>
      </c>
      <c r="I33">
        <f>COUNTIFS(Stats!H:H,A33,Stats!G:G,"H")</f>
        <v>5</v>
      </c>
      <c r="J33">
        <f t="shared" si="2"/>
        <v>0</v>
      </c>
      <c r="K33">
        <f t="shared" si="3"/>
        <v>9</v>
      </c>
      <c r="L33">
        <f>SUMIFS(Stats!I:I,Stats!F:F,A33)+SUMIFS(Stats!J:J,Stats!H:H,A33)</f>
        <v>325</v>
      </c>
      <c r="M33">
        <f t="shared" si="4"/>
        <v>19.117647058823529</v>
      </c>
      <c r="N33">
        <f>SUMIFS(Stats!I:I,Stats!H:H,A33)+SUMIFS(Stats!J:J,Stats!F:F,A33)</f>
        <v>467</v>
      </c>
      <c r="O33">
        <f t="shared" si="5"/>
        <v>27.470588235294116</v>
      </c>
      <c r="P33" s="15">
        <f t="shared" si="6"/>
        <v>-142</v>
      </c>
      <c r="Q33">
        <f t="shared" si="7"/>
        <v>-8.3529411764705888</v>
      </c>
      <c r="R33" s="15">
        <f>SUMIFS(Stats!K:K,Stats!F:F,A33)+SUMIFS(Stats!M:M,Stats!H:H,A33)</f>
        <v>5484</v>
      </c>
      <c r="S33" s="15">
        <f>SUMIFS(Stats!K:K,Stats!H:H,A33)+SUMIFS(Stats!M:M,Stats!F:F,A33)</f>
        <v>6456</v>
      </c>
      <c r="T33" s="15">
        <f t="shared" si="8"/>
        <v>322.58823529411762</v>
      </c>
      <c r="U33" s="15">
        <f t="shared" si="9"/>
        <v>379.76470588235293</v>
      </c>
      <c r="V33" s="15">
        <f t="shared" si="10"/>
        <v>-972</v>
      </c>
      <c r="W33" s="15">
        <f t="shared" si="11"/>
        <v>-57.176470588235304</v>
      </c>
      <c r="X33" s="15">
        <f>SUMIFS(Stats!I:I,Stats!F:F,A33)</f>
        <v>96</v>
      </c>
      <c r="Y33" s="15">
        <f t="shared" si="12"/>
        <v>32</v>
      </c>
      <c r="Z33" s="15">
        <f>SUMIFS(Stats!J:J,Stats!F:F,A33)</f>
        <v>69</v>
      </c>
      <c r="AA33" s="15">
        <f t="shared" si="13"/>
        <v>23</v>
      </c>
      <c r="AB33" s="15">
        <f t="shared" si="14"/>
        <v>27</v>
      </c>
      <c r="AC33" s="15">
        <f t="shared" si="15"/>
        <v>9</v>
      </c>
      <c r="AD33" s="15">
        <f>SUMIFS(Stats!J:J,Stats!H:H,A33)</f>
        <v>229</v>
      </c>
      <c r="AE33" s="18">
        <f t="shared" si="16"/>
        <v>16.357142857142858</v>
      </c>
      <c r="AF33" s="15">
        <f>SUMIFS(Stats!I:I,Stats!H:H,A33)</f>
        <v>398</v>
      </c>
      <c r="AG33" s="18">
        <f t="shared" si="17"/>
        <v>28.428571428571427</v>
      </c>
      <c r="AH33" s="15">
        <f t="shared" si="18"/>
        <v>-169</v>
      </c>
      <c r="AI33" s="18">
        <f t="shared" si="19"/>
        <v>-12.071428571428569</v>
      </c>
      <c r="AJ33" s="15">
        <f>_xlfn.MINIFS(Stats!O:O,Stats!F:F,A33)</f>
        <v>2</v>
      </c>
      <c r="AK33" s="15">
        <f>-_xlfn.MINIFS(Stats!O:O,Stats!H:H,A33)</f>
        <v>-2</v>
      </c>
      <c r="AL33" s="15">
        <f>_xlfn.MAXIFS(Stats!O:O,Stats!F:F,A33)</f>
        <v>18</v>
      </c>
      <c r="AM33" s="15">
        <f>-_xlfn.MAXIFS(Stats!O:O,Stats!H:H,A33)</f>
        <v>-38</v>
      </c>
      <c r="AN33" s="15">
        <f>_xlfn.MAXIFS(Stats!I:I,Stats!F:F,A33)</f>
        <v>37</v>
      </c>
      <c r="AO33" s="15">
        <f>IF(_xlfn.MINIFS(Stats!I:I,Stats!F:F,A33)&lt;_xlfn.MINIFS(Stats!J:J,Stats!H:H,A33),_xlfn.MINIFS(Stats!I:I,Stats!F:F,A33),_xlfn.MINIFS(Stats!J:J,Stats!H:H,A33))</f>
        <v>6</v>
      </c>
      <c r="AP33" s="15">
        <f>IF(_xlfn.MAXIFS(Stats!K:K,Stats!F:F,A33)&gt;_xlfn.MAXIFS(Stats!M:M,Stats!H:H,A33),_xlfn.MAXIFS(Stats!K:K,Stats!F:F,A33),_xlfn.MAXIFS(Stats!M:M,Stats!H:H,A33))</f>
        <v>430</v>
      </c>
      <c r="AQ33" s="15">
        <f>IF(_xlfn.MINIFS(Stats!M:M,Stats!H:H,A33)&lt;_xlfn.MINIFS(Stats!K:K,Stats!F:F,A33),_xlfn.MINIFS(Stats!M:M,Stats!H:H,A33),_xlfn.MINIFS(Stats!K:K,Stats!F:F,A33))</f>
        <v>228</v>
      </c>
      <c r="AR33" s="15">
        <f>SUMIFS(Stats!K:K,Stats!F:F,A33)/F33</f>
        <v>371.33333333333331</v>
      </c>
      <c r="AS33" s="15">
        <f>SUMIFS(Stats!M:M,Stats!F:F,A33)/F33</f>
        <v>400.66666666666669</v>
      </c>
      <c r="AT33" s="15">
        <f t="shared" si="20"/>
        <v>-29.333333333333371</v>
      </c>
      <c r="AU33" s="15">
        <f>SUMIFS(Stats!M:M,Stats!H:H,A33)/G33</f>
        <v>312.14285714285717</v>
      </c>
      <c r="AV33" s="15">
        <f>SUMIFS(Stats!K:K,Stats!H:H,A33)/G33</f>
        <v>375.28571428571428</v>
      </c>
      <c r="AW33" s="15">
        <f t="shared" si="21"/>
        <v>-63.14285714285711</v>
      </c>
      <c r="AX33" s="15">
        <f>(SUMIFS(Stats!I:I,Stats!E:E,"H",Stats!F:F,A33)+SUMIFS(Stats!J:J,Stats!H:H,A33,Stats!G:G,"H"))/(H33+I33)</f>
        <v>22.125</v>
      </c>
      <c r="AY33" s="15">
        <f>(SUMIFS(Stats!K:K,Stats!F:F,A33,Stats!E:E,"H")+SUMIFS(Stats!M:M,Stats!G:G,"H",Stats!H:H,A33))/(H33+I33)</f>
        <v>315.5</v>
      </c>
      <c r="AZ33" s="15">
        <f>(SUMIFS(Stats!I:I,Stats!E:E,"V",Stats!F:F,A33)+SUMIFS(Stats!J:J,Stats!H:H,A33,Stats!G:G,"V"))/(J33+K33)</f>
        <v>16.444444444444443</v>
      </c>
      <c r="BA33" s="15">
        <f>(SUMIFS(Stats!K:K,Stats!F:F,A33,Stats!E:E,"V")+SUMIFS(Stats!M:M,Stats!G:G,"V",Stats!H:H,A33))/(J33+K33)</f>
        <v>328.88888888888891</v>
      </c>
    </row>
    <row r="35" spans="1:53" hidden="1">
      <c r="A35" t="s">
        <v>48</v>
      </c>
      <c r="B35" t="s">
        <v>45</v>
      </c>
      <c r="C35" t="s">
        <v>129</v>
      </c>
      <c r="F35" t="str">
        <f t="shared" ref="F35:BA35" si="22">INDEX($A:$A,MATCH(MAX(F$2:F$33),F:F,0))</f>
        <v>Los Angeles Rams</v>
      </c>
      <c r="G35" t="str">
        <f>INDEX($A:$A,MATCH(MIN(G$2:G$33),G:G,0))</f>
        <v>Tampa Bay Buccaneers</v>
      </c>
      <c r="H35" t="str">
        <f t="shared" si="22"/>
        <v>Kansas City Chiefs</v>
      </c>
      <c r="I35" t="str">
        <f>INDEX($A:$A,MATCH(MIN(I$2:I$33),I:I,0))</f>
        <v>Green Bay Packers</v>
      </c>
      <c r="J35" t="str">
        <f t="shared" si="22"/>
        <v>Arizona Cardinals</v>
      </c>
      <c r="K35" t="str">
        <f>INDEX($A:$A,MATCH(MIN(K$2:K$33),K:K,0))</f>
        <v>Arizona Cardinals</v>
      </c>
      <c r="L35" t="str">
        <f t="shared" si="22"/>
        <v>Kansas City Chiefs</v>
      </c>
      <c r="M35" t="str">
        <f t="shared" si="22"/>
        <v>Dallas Cowboys</v>
      </c>
      <c r="N35" t="str">
        <f>INDEX($A:$A,MATCH(MIN(N$2:N$33),N:N,0))</f>
        <v>Denver Broncos</v>
      </c>
      <c r="O35" t="str">
        <f>INDEX($A:$A,MATCH(MIN(O$2:O$33),O:O,0))</f>
        <v>Buffalo Bills</v>
      </c>
      <c r="P35" t="str">
        <f t="shared" si="22"/>
        <v>Buffalo Bills</v>
      </c>
      <c r="Q35" t="str">
        <f t="shared" si="22"/>
        <v>Buffalo Bills</v>
      </c>
      <c r="R35" t="str">
        <f t="shared" si="22"/>
        <v>Kansas City Chiefs</v>
      </c>
      <c r="S35" t="str">
        <f>INDEX($A:$A,MATCH(MIN(S$2:S$33),S:S,0))</f>
        <v>Carolina Panthers</v>
      </c>
      <c r="T35" t="str">
        <f t="shared" si="22"/>
        <v>Kansas City Chiefs</v>
      </c>
      <c r="U35" t="str">
        <f>INDEX($A:$A,MATCH(MIN(U$2:U$33),U:U,0))</f>
        <v>Buffalo Bills</v>
      </c>
      <c r="V35" t="str">
        <f t="shared" si="22"/>
        <v>Buffalo Bills</v>
      </c>
      <c r="W35" t="str">
        <f t="shared" si="22"/>
        <v>Buffalo Bills</v>
      </c>
      <c r="X35" t="str">
        <f t="shared" si="22"/>
        <v>Tampa Bay Buccaneers</v>
      </c>
      <c r="Y35" t="str">
        <f t="shared" si="22"/>
        <v>Buffalo Bills</v>
      </c>
      <c r="Z35" t="str">
        <f>INDEX($A:$A,MATCH(MIN(Z$2:Z$33),Z:Z,0))</f>
        <v>Jacksonville Jaguars</v>
      </c>
      <c r="AA35" t="str">
        <f>INDEX($A:$A,MATCH(MIN(AA$2:AA$33),AA:AA,0))</f>
        <v>Carolina Panthers</v>
      </c>
      <c r="AB35" t="str">
        <f t="shared" si="22"/>
        <v>Buffalo Bills</v>
      </c>
      <c r="AC35" t="str">
        <f t="shared" si="22"/>
        <v>Buffalo Bills</v>
      </c>
      <c r="AD35" t="str">
        <f t="shared" si="22"/>
        <v>Detroit Lions</v>
      </c>
      <c r="AE35" t="str">
        <f t="shared" si="22"/>
        <v>Kansas City Chiefs</v>
      </c>
      <c r="AF35" t="str">
        <f>INDEX($A:$A,MATCH(MIN(AF$2:AF$33),AF:AF,0))</f>
        <v>Green Bay Packers</v>
      </c>
      <c r="AG35" t="str">
        <f>INDEX($A:$A,MATCH(MIN(AG$2:AG$33),AG:AG,0))</f>
        <v>Seattle Seahawks</v>
      </c>
      <c r="AH35" t="str">
        <f t="shared" si="22"/>
        <v>Dallas Cowboys</v>
      </c>
      <c r="AI35" t="str">
        <f t="shared" si="22"/>
        <v>Dallas Cowboys</v>
      </c>
      <c r="AJ35" t="str">
        <f t="shared" si="22"/>
        <v>Buffalo Bills</v>
      </c>
      <c r="AL35" t="str">
        <f t="shared" si="22"/>
        <v>Dallas Cowboys</v>
      </c>
      <c r="AM35" t="str">
        <f>INDEX($A:$A,MATCH(MIN(AM$2:AM$33),AM:AM,0))</f>
        <v>Washington Football Team</v>
      </c>
      <c r="AN35" t="str">
        <f t="shared" si="22"/>
        <v>Dallas Cowboys</v>
      </c>
      <c r="AO35" t="str">
        <f t="shared" si="22"/>
        <v>Cincinnati Bengals</v>
      </c>
      <c r="AP35" t="str">
        <f t="shared" si="22"/>
        <v>Cincinnati Bengals</v>
      </c>
      <c r="AQ35" t="str">
        <f t="shared" si="22"/>
        <v>Baltimore Ravens</v>
      </c>
      <c r="AR35" t="str">
        <f t="shared" si="22"/>
        <v>Dallas Cowboys</v>
      </c>
      <c r="AS35" t="str">
        <f>INDEX($A:$A,MATCH(MIN(AS$2:AS$33),AS:AS,0))</f>
        <v>Carolina Panthers</v>
      </c>
      <c r="AT35" t="str">
        <f t="shared" si="22"/>
        <v>Carolina Panthers</v>
      </c>
      <c r="AU35" t="str">
        <f t="shared" si="22"/>
        <v>Kansas City Chiefs</v>
      </c>
      <c r="AV35" t="str">
        <f>INDEX($A:$A,MATCH(MIN(AV$2:AV$33),AV:AV,0))</f>
        <v>Tennessee Titans</v>
      </c>
      <c r="AW35" t="str">
        <f t="shared" si="22"/>
        <v>Tennessee Titans</v>
      </c>
      <c r="AX35" t="str">
        <f t="shared" si="22"/>
        <v>Dallas Cowboys</v>
      </c>
      <c r="AY35" t="str">
        <f t="shared" si="22"/>
        <v>Tampa Bay Buccaneers</v>
      </c>
      <c r="AZ35" t="str">
        <f t="shared" si="22"/>
        <v>Buffalo Bills</v>
      </c>
      <c r="BA35" t="str">
        <f t="shared" si="22"/>
        <v>Kansas City Chiefs</v>
      </c>
    </row>
    <row r="36" spans="1:53" hidden="1">
      <c r="A36" t="s">
        <v>34</v>
      </c>
      <c r="B36" t="s">
        <v>35</v>
      </c>
      <c r="F36" t="str">
        <f t="shared" ref="F36:BA36" si="23">INDEX($A:$A,MATCH(MIN(F$2:F$33),F:F,0))</f>
        <v>Jacksonville Jaguars</v>
      </c>
      <c r="G36" t="str">
        <f>INDEX($A:$A,MATCH(MAX(G$2:G$33),G:G,0))</f>
        <v>Jacksonville Jaguars</v>
      </c>
      <c r="H36" t="str">
        <f t="shared" si="23"/>
        <v>Carolina Panthers</v>
      </c>
      <c r="I36" t="str">
        <f>INDEX($A:$A,MATCH(MAX(I$2:I$33),I:I,0))</f>
        <v>Houston Texans</v>
      </c>
      <c r="J36" t="str">
        <f t="shared" si="23"/>
        <v>Jacksonville Jaguars</v>
      </c>
      <c r="K36" t="str">
        <f>INDEX($A:$A,MATCH(MAX(K$2:K$33),K:K,0))</f>
        <v>Detroit Lions</v>
      </c>
      <c r="L36" t="str">
        <f t="shared" si="23"/>
        <v>Jacksonville Jaguars</v>
      </c>
      <c r="M36" t="str">
        <f t="shared" si="23"/>
        <v>Jacksonville Jaguars</v>
      </c>
      <c r="N36" t="str">
        <f>INDEX($A:$A,MATCH(MAX(N$2:N$33),N:N,0))</f>
        <v>New York Jets</v>
      </c>
      <c r="O36" t="str">
        <f>INDEX($A:$A,MATCH(MAX(O$2:O$33),O:O,0))</f>
        <v>New York Jets</v>
      </c>
      <c r="P36" t="str">
        <f t="shared" si="23"/>
        <v>Jacksonville Jaguars</v>
      </c>
      <c r="Q36" t="str">
        <f t="shared" si="23"/>
        <v>Jacksonville Jaguars</v>
      </c>
      <c r="R36" t="str">
        <f t="shared" si="23"/>
        <v>Houston Texans</v>
      </c>
      <c r="S36" t="str">
        <f>INDEX($A:$A,MATCH(MAX(S$2:S$33),S:S,0))</f>
        <v>Cincinnati Bengals</v>
      </c>
      <c r="T36" t="str">
        <f t="shared" si="23"/>
        <v>Houston Texans</v>
      </c>
      <c r="U36" t="str">
        <f>INDEX($A:$A,MATCH(MAX(U$2:U$33),U:U,0))</f>
        <v>New York Jets</v>
      </c>
      <c r="V36" t="str">
        <f t="shared" si="23"/>
        <v>Houston Texans</v>
      </c>
      <c r="W36" t="str">
        <f t="shared" si="23"/>
        <v>Houston Texans</v>
      </c>
      <c r="X36" t="str">
        <f t="shared" si="23"/>
        <v>Jacksonville Jaguars</v>
      </c>
      <c r="Y36" t="str">
        <f t="shared" si="23"/>
        <v>Jacksonville Jaguars</v>
      </c>
      <c r="Z36" t="str">
        <f>INDEX($A:$A,MATCH(MAX(Z$2:Z$33),Z:Z,0))</f>
        <v>Los Angeles Rams</v>
      </c>
      <c r="AA36" t="str">
        <f>INDEX($A:$A,MATCH(MAX(AA$2:AA$33),AA:AA,0))</f>
        <v>Los Angeles Chargers</v>
      </c>
      <c r="AB36" t="str">
        <f t="shared" si="23"/>
        <v>New York Jets</v>
      </c>
      <c r="AC36" t="str">
        <f t="shared" si="23"/>
        <v>New York Jets</v>
      </c>
      <c r="AD36" t="str">
        <f t="shared" si="23"/>
        <v>Green Bay Packers</v>
      </c>
      <c r="AE36" t="str">
        <f t="shared" si="23"/>
        <v>Houston Texans</v>
      </c>
      <c r="AF36" t="str">
        <f>INDEX($A:$A,MATCH(MAX(AF$2:AF$33),AF:AF,0))</f>
        <v>Jacksonville Jaguars</v>
      </c>
      <c r="AG36" t="str">
        <f>INDEX($A:$A,MATCH(MAX(AG$2:AG$33),AG:AG,0))</f>
        <v>Pittsburgh Steelers</v>
      </c>
      <c r="AH36" t="str">
        <f t="shared" si="23"/>
        <v>Jacksonville Jaguars</v>
      </c>
      <c r="AI36" t="str">
        <f t="shared" si="23"/>
        <v>Atlanta Falcons</v>
      </c>
      <c r="AL36" t="str">
        <f t="shared" si="23"/>
        <v>New York Jets</v>
      </c>
      <c r="AM36" t="str">
        <f>INDEX($A:$A,MATCH(MAX(AM$2:AM$33),AM:AM,0))</f>
        <v>Tampa Bay Buccaneers</v>
      </c>
      <c r="AN36" t="str">
        <f t="shared" si="23"/>
        <v>Jacksonville Jaguars</v>
      </c>
      <c r="AP36" t="str">
        <f t="shared" si="23"/>
        <v>Pittsburgh Steelers</v>
      </c>
      <c r="AQ36" t="str">
        <f t="shared" si="23"/>
        <v>Chicago Bears</v>
      </c>
      <c r="AR36" t="str">
        <f t="shared" si="23"/>
        <v>Chicago Bears</v>
      </c>
      <c r="AS36" t="str">
        <f>INDEX($A:$A,MATCH(MAX(AS$2:AS$33),AS:AS,0))</f>
        <v>Detroit Lions</v>
      </c>
      <c r="AT36" t="str">
        <f t="shared" si="23"/>
        <v>Houston Texans</v>
      </c>
      <c r="AU36" t="str">
        <f t="shared" si="23"/>
        <v>Houston Texans</v>
      </c>
      <c r="AV36" t="str">
        <f>INDEX($A:$A,MATCH(MAX(AV$2:AV$33),AV:AV,0))</f>
        <v>New York Jets</v>
      </c>
      <c r="AW36" t="str">
        <f t="shared" si="23"/>
        <v>New York Jets</v>
      </c>
      <c r="AX36" t="str">
        <f t="shared" si="23"/>
        <v>New York Giants</v>
      </c>
      <c r="AY36" t="str">
        <f t="shared" si="23"/>
        <v>New York Giants</v>
      </c>
      <c r="AZ36" t="str">
        <f t="shared" si="23"/>
        <v>Houston Texans</v>
      </c>
      <c r="BA36" t="str">
        <f t="shared" si="23"/>
        <v>Houston Texans</v>
      </c>
    </row>
  </sheetData>
  <autoFilter ref="A1:E33" xr:uid="{B3CED70B-08CE-4B80-BBDA-347D8A4790FE}"/>
  <conditionalFormatting sqref="M2:M33">
    <cfRule type="top10" dxfId="853" priority="110" rank="1"/>
  </conditionalFormatting>
  <conditionalFormatting sqref="M2:M33">
    <cfRule type="top10" dxfId="852" priority="109" bottom="1" rank="1"/>
  </conditionalFormatting>
  <conditionalFormatting sqref="L2:L33">
    <cfRule type="top10" dxfId="851" priority="108" rank="1"/>
  </conditionalFormatting>
  <conditionalFormatting sqref="L2:L33">
    <cfRule type="top10" dxfId="850" priority="107" bottom="1" rank="1"/>
  </conditionalFormatting>
  <conditionalFormatting sqref="N2:N33">
    <cfRule type="top10" dxfId="849" priority="106" rank="1"/>
  </conditionalFormatting>
  <conditionalFormatting sqref="N2:N33">
    <cfRule type="top10" dxfId="848" priority="105" bottom="1" rank="1"/>
  </conditionalFormatting>
  <conditionalFormatting sqref="O2:O33">
    <cfRule type="top10" dxfId="847" priority="104" rank="1"/>
  </conditionalFormatting>
  <conditionalFormatting sqref="O2:O33">
    <cfRule type="top10" dxfId="846" priority="103" bottom="1" rank="1"/>
  </conditionalFormatting>
  <conditionalFormatting sqref="P2:P33">
    <cfRule type="top10" dxfId="845" priority="102" rank="1"/>
  </conditionalFormatting>
  <conditionalFormatting sqref="P2:P33">
    <cfRule type="top10" dxfId="844" priority="101" bottom="1" rank="1"/>
  </conditionalFormatting>
  <conditionalFormatting sqref="Q2:Q33">
    <cfRule type="top10" dxfId="843" priority="100" rank="1"/>
  </conditionalFormatting>
  <conditionalFormatting sqref="Q2:Q33">
    <cfRule type="top10" dxfId="842" priority="99" bottom="1" rank="1"/>
  </conditionalFormatting>
  <conditionalFormatting sqref="R2:R33">
    <cfRule type="top10" dxfId="841" priority="98" rank="1"/>
  </conditionalFormatting>
  <conditionalFormatting sqref="R2:R33">
    <cfRule type="top10" dxfId="840" priority="97" bottom="1" rank="1"/>
  </conditionalFormatting>
  <conditionalFormatting sqref="U2:U33">
    <cfRule type="top10" dxfId="839" priority="96" rank="1"/>
  </conditionalFormatting>
  <conditionalFormatting sqref="U2:U33">
    <cfRule type="top10" dxfId="838" priority="95" bottom="1" rank="1"/>
  </conditionalFormatting>
  <conditionalFormatting sqref="T2:T33">
    <cfRule type="top10" dxfId="837" priority="94" rank="1"/>
  </conditionalFormatting>
  <conditionalFormatting sqref="T2:T33">
    <cfRule type="top10" dxfId="836" priority="93" bottom="1" rank="1"/>
  </conditionalFormatting>
  <conditionalFormatting sqref="S2:S33">
    <cfRule type="top10" dxfId="835" priority="92" rank="1"/>
  </conditionalFormatting>
  <conditionalFormatting sqref="S2:S33">
    <cfRule type="top10" dxfId="834" priority="91" bottom="1" rank="1"/>
  </conditionalFormatting>
  <conditionalFormatting sqref="Y2:Y33">
    <cfRule type="top10" dxfId="833" priority="84" rank="1"/>
  </conditionalFormatting>
  <conditionalFormatting sqref="Y2:Y33">
    <cfRule type="top10" dxfId="832" priority="83" bottom="1" rank="1"/>
  </conditionalFormatting>
  <conditionalFormatting sqref="AA2:AA33">
    <cfRule type="top10" dxfId="831" priority="82" rank="1"/>
  </conditionalFormatting>
  <conditionalFormatting sqref="AA2:AA33">
    <cfRule type="top10" dxfId="830" priority="81" bottom="1" rank="1"/>
  </conditionalFormatting>
  <conditionalFormatting sqref="Z2:Z33">
    <cfRule type="top10" dxfId="829" priority="80" rank="1"/>
  </conditionalFormatting>
  <conditionalFormatting sqref="Z2:Z33">
    <cfRule type="top10" dxfId="828" priority="79" bottom="1" rank="1"/>
  </conditionalFormatting>
  <conditionalFormatting sqref="AB2:AB33">
    <cfRule type="top10" dxfId="827" priority="78" rank="1"/>
  </conditionalFormatting>
  <conditionalFormatting sqref="AB2:AB33">
    <cfRule type="top10" dxfId="826" priority="77" bottom="1" rank="1"/>
  </conditionalFormatting>
  <conditionalFormatting sqref="AC2:AC33">
    <cfRule type="top10" dxfId="825" priority="76" rank="1"/>
  </conditionalFormatting>
  <conditionalFormatting sqref="AC2:AC33">
    <cfRule type="top10" dxfId="824" priority="75" bottom="1" rank="1"/>
  </conditionalFormatting>
  <conditionalFormatting sqref="AD2:AD33">
    <cfRule type="top10" dxfId="823" priority="74" rank="1"/>
  </conditionalFormatting>
  <conditionalFormatting sqref="AD2:AD33">
    <cfRule type="top10" dxfId="822" priority="73" bottom="1" rank="1"/>
  </conditionalFormatting>
  <conditionalFormatting sqref="AE2:AE33">
    <cfRule type="top10" dxfId="821" priority="72" rank="1"/>
  </conditionalFormatting>
  <conditionalFormatting sqref="AE2:AE33">
    <cfRule type="top10" dxfId="820" priority="71" bottom="1" rank="1"/>
  </conditionalFormatting>
  <conditionalFormatting sqref="AF2:AF33">
    <cfRule type="top10" dxfId="819" priority="70" rank="1"/>
  </conditionalFormatting>
  <conditionalFormatting sqref="AF2:AF33">
    <cfRule type="top10" dxfId="818" priority="69" bottom="1" rank="1"/>
  </conditionalFormatting>
  <conditionalFormatting sqref="AG2:AG33">
    <cfRule type="top10" dxfId="817" priority="66" rank="1"/>
  </conditionalFormatting>
  <conditionalFormatting sqref="AG2:AG33">
    <cfRule type="top10" dxfId="816" priority="65" bottom="1" rank="1"/>
  </conditionalFormatting>
  <conditionalFormatting sqref="AH2:AH33">
    <cfRule type="top10" dxfId="815" priority="64" rank="1"/>
  </conditionalFormatting>
  <conditionalFormatting sqref="AH2:AH33">
    <cfRule type="top10" dxfId="814" priority="63" bottom="1" rank="1"/>
  </conditionalFormatting>
  <conditionalFormatting sqref="AI2:AI33">
    <cfRule type="top10" dxfId="813" priority="62" rank="1"/>
  </conditionalFormatting>
  <conditionalFormatting sqref="AI2:AI33">
    <cfRule type="top10" dxfId="812" priority="61" bottom="1" rank="1"/>
  </conditionalFormatting>
  <conditionalFormatting sqref="AJ2:AJ33">
    <cfRule type="top10" dxfId="811" priority="60" rank="1"/>
  </conditionalFormatting>
  <conditionalFormatting sqref="AJ2:AJ33">
    <cfRule type="top10" dxfId="810" priority="59" bottom="1" rank="1"/>
  </conditionalFormatting>
  <conditionalFormatting sqref="AK2:AK33">
    <cfRule type="top10" dxfId="809" priority="58" rank="1"/>
  </conditionalFormatting>
  <conditionalFormatting sqref="AK2:AK33">
    <cfRule type="top10" dxfId="808" priority="57" bottom="1" rank="1"/>
  </conditionalFormatting>
  <conditionalFormatting sqref="AL2:AL33">
    <cfRule type="top10" dxfId="807" priority="56" rank="1"/>
  </conditionalFormatting>
  <conditionalFormatting sqref="AL2:AL33">
    <cfRule type="top10" dxfId="806" priority="55" bottom="1" rank="1"/>
  </conditionalFormatting>
  <conditionalFormatting sqref="AM2:AM33">
    <cfRule type="top10" dxfId="805" priority="54" rank="1"/>
  </conditionalFormatting>
  <conditionalFormatting sqref="AM2:AM33">
    <cfRule type="top10" dxfId="804" priority="53" bottom="1" rank="1"/>
  </conditionalFormatting>
  <conditionalFormatting sqref="AN2:AN33">
    <cfRule type="top10" dxfId="803" priority="52" rank="1"/>
  </conditionalFormatting>
  <conditionalFormatting sqref="AN2:AN33">
    <cfRule type="top10" dxfId="802" priority="51" bottom="1" rank="1"/>
  </conditionalFormatting>
  <conditionalFormatting sqref="AO2:AO33">
    <cfRule type="top10" dxfId="801" priority="50" rank="1"/>
  </conditionalFormatting>
  <conditionalFormatting sqref="AO2:AO33">
    <cfRule type="top10" dxfId="800" priority="49" bottom="1" rank="1"/>
  </conditionalFormatting>
  <conditionalFormatting sqref="AP2:AP33">
    <cfRule type="top10" dxfId="799" priority="48" rank="1"/>
  </conditionalFormatting>
  <conditionalFormatting sqref="AP2:AP33">
    <cfRule type="top10" dxfId="798" priority="47" bottom="1" rank="1"/>
  </conditionalFormatting>
  <conditionalFormatting sqref="AQ2:AQ33">
    <cfRule type="top10" dxfId="797" priority="44" rank="1"/>
  </conditionalFormatting>
  <conditionalFormatting sqref="AQ2:AQ33">
    <cfRule type="top10" dxfId="796" priority="43" bottom="1" rank="1"/>
  </conditionalFormatting>
  <conditionalFormatting sqref="AR2:AR33">
    <cfRule type="top10" dxfId="795" priority="42" rank="1"/>
  </conditionalFormatting>
  <conditionalFormatting sqref="AR2:AR33">
    <cfRule type="top10" dxfId="794" priority="41" bottom="1" rank="1"/>
  </conditionalFormatting>
  <conditionalFormatting sqref="AS2:AS33">
    <cfRule type="top10" dxfId="793" priority="40" rank="1"/>
  </conditionalFormatting>
  <conditionalFormatting sqref="AS2:AS33">
    <cfRule type="top10" dxfId="792" priority="39" bottom="1" rank="1"/>
  </conditionalFormatting>
  <conditionalFormatting sqref="AT2:AT33">
    <cfRule type="top10" dxfId="791" priority="38" rank="1"/>
  </conditionalFormatting>
  <conditionalFormatting sqref="AT2:AT33">
    <cfRule type="top10" dxfId="790" priority="37" bottom="1" rank="1"/>
  </conditionalFormatting>
  <conditionalFormatting sqref="AU2:AU33">
    <cfRule type="top10" dxfId="789" priority="36" rank="1"/>
  </conditionalFormatting>
  <conditionalFormatting sqref="AU2:AU33">
    <cfRule type="top10" dxfId="788" priority="35" bottom="1" rank="1"/>
  </conditionalFormatting>
  <conditionalFormatting sqref="AV2:AV33">
    <cfRule type="top10" dxfId="787" priority="34" rank="1"/>
  </conditionalFormatting>
  <conditionalFormatting sqref="AV2:AV33">
    <cfRule type="top10" dxfId="786" priority="33" bottom="1" rank="1"/>
  </conditionalFormatting>
  <conditionalFormatting sqref="AW2:AW33">
    <cfRule type="top10" dxfId="785" priority="32" rank="1"/>
  </conditionalFormatting>
  <conditionalFormatting sqref="AW2:AW33">
    <cfRule type="top10" dxfId="784" priority="31" bottom="1" rank="1"/>
  </conditionalFormatting>
  <conditionalFormatting sqref="AX2:AX33">
    <cfRule type="top10" dxfId="783" priority="30" rank="1"/>
  </conditionalFormatting>
  <conditionalFormatting sqref="AX2:AX33">
    <cfRule type="top10" dxfId="782" priority="29" bottom="1" rank="1"/>
  </conditionalFormatting>
  <conditionalFormatting sqref="AY2:AY33">
    <cfRule type="top10" dxfId="781" priority="28" rank="1"/>
  </conditionalFormatting>
  <conditionalFormatting sqref="AY2:AY33">
    <cfRule type="top10" dxfId="780" priority="27" bottom="1" rank="1"/>
  </conditionalFormatting>
  <conditionalFormatting sqref="AZ2:AZ33">
    <cfRule type="top10" dxfId="779" priority="26" rank="1"/>
  </conditionalFormatting>
  <conditionalFormatting sqref="AZ2:AZ33">
    <cfRule type="top10" dxfId="778" priority="25" bottom="1" rank="1"/>
  </conditionalFormatting>
  <conditionalFormatting sqref="BA2:BA33">
    <cfRule type="top10" dxfId="777" priority="24" rank="1"/>
  </conditionalFormatting>
  <conditionalFormatting sqref="BA2:BA33">
    <cfRule type="top10" dxfId="776" priority="23" bottom="1" rank="1"/>
  </conditionalFormatting>
  <conditionalFormatting sqref="V2:V33">
    <cfRule type="top10" dxfId="775" priority="22" rank="1"/>
  </conditionalFormatting>
  <conditionalFormatting sqref="V2:V33">
    <cfRule type="top10" dxfId="774" priority="21" bottom="1" rank="1"/>
  </conditionalFormatting>
  <conditionalFormatting sqref="W2:W33">
    <cfRule type="top10" dxfId="773" priority="20" rank="1"/>
  </conditionalFormatting>
  <conditionalFormatting sqref="W2:W33">
    <cfRule type="top10" dxfId="772" priority="19" bottom="1" rank="1"/>
  </conditionalFormatting>
  <conditionalFormatting sqref="B2:B33">
    <cfRule type="top10" dxfId="771" priority="18" rank="1"/>
  </conditionalFormatting>
  <conditionalFormatting sqref="B2:B33">
    <cfRule type="top10" dxfId="770" priority="17" bottom="1" rank="1"/>
  </conditionalFormatting>
  <conditionalFormatting sqref="C2:C33">
    <cfRule type="top10" dxfId="769" priority="16" rank="1"/>
  </conditionalFormatting>
  <conditionalFormatting sqref="C2:C33">
    <cfRule type="top10" dxfId="768" priority="15" bottom="1" rank="1"/>
  </conditionalFormatting>
  <conditionalFormatting sqref="F2:F33">
    <cfRule type="top10" dxfId="767" priority="14" rank="1"/>
  </conditionalFormatting>
  <conditionalFormatting sqref="F2:F33">
    <cfRule type="top10" dxfId="766" priority="13" bottom="1" rank="1"/>
  </conditionalFormatting>
  <conditionalFormatting sqref="G2:G33">
    <cfRule type="top10" dxfId="765" priority="12" rank="1"/>
  </conditionalFormatting>
  <conditionalFormatting sqref="G2:G33">
    <cfRule type="top10" dxfId="764" priority="11" bottom="1" rank="1"/>
  </conditionalFormatting>
  <conditionalFormatting sqref="H2:H33">
    <cfRule type="top10" dxfId="763" priority="10" rank="1"/>
  </conditionalFormatting>
  <conditionalFormatting sqref="H2:H33">
    <cfRule type="top10" dxfId="762" priority="9" bottom="1" rank="1"/>
  </conditionalFormatting>
  <conditionalFormatting sqref="I2:I33">
    <cfRule type="top10" dxfId="761" priority="8" rank="1"/>
  </conditionalFormatting>
  <conditionalFormatting sqref="I2:I33">
    <cfRule type="top10" dxfId="760" priority="7" bottom="1" rank="1"/>
  </conditionalFormatting>
  <conditionalFormatting sqref="J2:J33">
    <cfRule type="top10" dxfId="759" priority="6" rank="1"/>
  </conditionalFormatting>
  <conditionalFormatting sqref="J2:J33">
    <cfRule type="top10" dxfId="758" priority="5" bottom="1" rank="1"/>
  </conditionalFormatting>
  <conditionalFormatting sqref="K2:K33">
    <cfRule type="top10" dxfId="757" priority="4" rank="1"/>
  </conditionalFormatting>
  <conditionalFormatting sqref="K2:K33">
    <cfRule type="top10" dxfId="756" priority="3" bottom="1" rank="1"/>
  </conditionalFormatting>
  <conditionalFormatting sqref="X2:X33">
    <cfRule type="top10" dxfId="755" priority="2" rank="1"/>
  </conditionalFormatting>
  <conditionalFormatting sqref="X2:X33">
    <cfRule type="top10" dxfId="754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E743-7F23-4DC4-9281-405CB5527AC7}">
  <dimension ref="A1:BP40"/>
  <sheetViews>
    <sheetView workbookViewId="0">
      <pane xSplit="3" ySplit="1" topLeftCell="BB50" activePane="bottomRight" state="frozen"/>
      <selection pane="bottomRight" activeCell="BB50" sqref="BB50"/>
      <selection pane="bottomLeft"/>
      <selection pane="topRight"/>
    </sheetView>
  </sheetViews>
  <sheetFormatPr defaultRowHeight="15"/>
  <cols>
    <col min="1" max="1" width="25" bestFit="1" customWidth="1"/>
    <col min="2" max="2" width="11.42578125" bestFit="1" customWidth="1"/>
    <col min="3" max="4" width="10.42578125" bestFit="1" customWidth="1"/>
    <col min="5" max="5" width="11.140625" bestFit="1" customWidth="1"/>
    <col min="6" max="6" width="18.28515625" bestFit="1" customWidth="1"/>
    <col min="7" max="7" width="19" bestFit="1" customWidth="1"/>
    <col min="8" max="9" width="19" customWidth="1"/>
    <col min="10" max="10" width="18.42578125" bestFit="1" customWidth="1"/>
    <col min="11" max="11" width="18.42578125" customWidth="1"/>
    <col min="12" max="12" width="18.42578125" bestFit="1" customWidth="1"/>
    <col min="13" max="13" width="22.28515625" bestFit="1" customWidth="1"/>
    <col min="14" max="14" width="17.28515625" bestFit="1" customWidth="1"/>
    <col min="15" max="15" width="25.42578125" bestFit="1" customWidth="1"/>
    <col min="16" max="16" width="11.140625" customWidth="1"/>
    <col min="17" max="17" width="18.85546875" bestFit="1" customWidth="1"/>
    <col min="18" max="18" width="18.85546875" customWidth="1"/>
    <col min="19" max="19" width="21.85546875" bestFit="1" customWidth="1"/>
    <col min="20" max="20" width="16.85546875" bestFit="1" customWidth="1"/>
    <col min="21" max="21" width="20.140625" bestFit="1" customWidth="1"/>
    <col min="22" max="22" width="20.140625" customWidth="1"/>
    <col min="23" max="23" width="23.140625" bestFit="1" customWidth="1"/>
    <col min="24" max="25" width="23.140625" customWidth="1"/>
    <col min="26" max="26" width="26.7109375" bestFit="1" customWidth="1"/>
    <col min="27" max="27" width="20.7109375" bestFit="1" customWidth="1"/>
    <col min="28" max="28" width="20.7109375" customWidth="1"/>
    <col min="29" max="29" width="23.7109375" bestFit="1" customWidth="1"/>
    <col min="30" max="30" width="23.7109375" customWidth="1"/>
    <col min="31" max="31" width="27" bestFit="1" customWidth="1"/>
    <col min="32" max="32" width="25.85546875" bestFit="1" customWidth="1"/>
    <col min="33" max="33" width="10.5703125" bestFit="1" customWidth="1"/>
    <col min="34" max="34" width="12" bestFit="1" customWidth="1"/>
    <col min="35" max="35" width="11.7109375" bestFit="1" customWidth="1"/>
    <col min="36" max="36" width="12.28515625" bestFit="1" customWidth="1"/>
    <col min="37" max="37" width="11.42578125" bestFit="1" customWidth="1"/>
    <col min="38" max="38" width="12" bestFit="1" customWidth="1"/>
    <col min="39" max="39" width="10.85546875" bestFit="1" customWidth="1"/>
    <col min="40" max="40" width="11.42578125" bestFit="1" customWidth="1"/>
    <col min="41" max="41" width="20.85546875" bestFit="1" customWidth="1"/>
    <col min="42" max="42" width="31.140625" bestFit="1" customWidth="1"/>
    <col min="43" max="43" width="25.5703125" bestFit="1" customWidth="1"/>
    <col min="44" max="44" width="21.42578125" bestFit="1" customWidth="1"/>
    <col min="45" max="45" width="31.85546875" bestFit="1" customWidth="1"/>
    <col min="46" max="46" width="22.140625" bestFit="1" customWidth="1"/>
    <col min="47" max="47" width="22.42578125" bestFit="1" customWidth="1"/>
    <col min="48" max="48" width="22.85546875" bestFit="1" customWidth="1"/>
    <col min="49" max="49" width="20.140625" bestFit="1" customWidth="1"/>
    <col min="50" max="50" width="19.42578125" bestFit="1" customWidth="1"/>
  </cols>
  <sheetData>
    <row r="1" spans="1:68">
      <c r="A1" s="2" t="s">
        <v>71</v>
      </c>
      <c r="B1" s="2" t="s">
        <v>74</v>
      </c>
      <c r="C1" s="2" t="s">
        <v>66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89</v>
      </c>
      <c r="S1" s="2" t="s">
        <v>90</v>
      </c>
      <c r="T1" s="2" t="s">
        <v>130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68">
      <c r="A2" t="s">
        <v>46</v>
      </c>
      <c r="B2" t="s">
        <v>126</v>
      </c>
      <c r="C2" t="s">
        <v>125</v>
      </c>
      <c r="D2">
        <f>COUNTIF(Stats!F:F,A2)</f>
        <v>9</v>
      </c>
      <c r="E2">
        <f>COUNTIF(Stats!H:H,A2)</f>
        <v>8</v>
      </c>
      <c r="F2">
        <f>COUNTIFS(Stats!F:F,A2,Stats!E:E,"H")</f>
        <v>6</v>
      </c>
      <c r="G2">
        <f>COUNTIFS(Stats!H:H,A2,Stats!G:G,"H")</f>
        <v>3</v>
      </c>
      <c r="H2">
        <f>D2-F2</f>
        <v>3</v>
      </c>
      <c r="I2">
        <f>E2-G2</f>
        <v>5</v>
      </c>
      <c r="J2">
        <f>SUMIFS(Stats!I:I,Stats!F:F,A2)+SUMIFS(Stats!J:J,Stats!H:H,A2)</f>
        <v>341</v>
      </c>
      <c r="K2">
        <f>J2/(D2+E2)</f>
        <v>20.058823529411764</v>
      </c>
      <c r="L2">
        <f>SUMIFS(Stats!I:I,Stats!H:H,A2)+SUMIFS(Stats!J:J,Stats!F:F,A2)</f>
        <v>373</v>
      </c>
      <c r="M2">
        <f>L2/SUM(D2,E2)</f>
        <v>21.941176470588236</v>
      </c>
      <c r="N2">
        <f>J2-L2</f>
        <v>-32</v>
      </c>
      <c r="O2">
        <f>N2/(D2+E2)</f>
        <v>-1.8823529411764706</v>
      </c>
      <c r="P2">
        <f>SUMIFS(Stats!K:K,Stats!F:F,A2)+SUMIFS(Stats!M:M,Stats!H:H,A2)</f>
        <v>5226</v>
      </c>
      <c r="Q2">
        <f>SUMIFS(Stats!K:K,Stats!H:H,A2)+SUMIFS(Stats!M:M,Stats!F:F,A2)</f>
        <v>5738</v>
      </c>
      <c r="R2">
        <f>P2/(D2+E2)</f>
        <v>307.41176470588238</v>
      </c>
      <c r="S2">
        <f>Q2/(D2+E2)</f>
        <v>337.52941176470586</v>
      </c>
      <c r="T2">
        <f>P2-Q2</f>
        <v>-512</v>
      </c>
      <c r="U2">
        <f>SUMIFS(Stats!I:I,Stats!F:F,A2)</f>
        <v>217</v>
      </c>
      <c r="V2">
        <f>U2/D2</f>
        <v>24.111111111111111</v>
      </c>
      <c r="W2">
        <f>SUMIFS(Stats!J:J,Stats!F:F,A2)</f>
        <v>122</v>
      </c>
      <c r="X2">
        <f>W2/D2</f>
        <v>13.555555555555555</v>
      </c>
      <c r="Y2">
        <f>U2-W2</f>
        <v>95</v>
      </c>
      <c r="Z2">
        <f>V2-X2</f>
        <v>10.555555555555555</v>
      </c>
      <c r="AA2">
        <f>SUMIFS(Stats!J:J,Stats!H:H,A2)</f>
        <v>124</v>
      </c>
      <c r="AB2">
        <f>AA2/E2</f>
        <v>15.5</v>
      </c>
      <c r="AC2">
        <f>SUMIFS(Stats!I:I,Stats!H:H,A2)</f>
        <v>251</v>
      </c>
      <c r="AD2">
        <f>AC2/E2</f>
        <v>31.375</v>
      </c>
      <c r="AE2">
        <f>AA2-AC2</f>
        <v>-127</v>
      </c>
      <c r="AF2">
        <f>AB2-AD2</f>
        <v>-15.875</v>
      </c>
      <c r="AG2">
        <f>_xlfn.MINIFS(Stats!O:O,Stats!F:F,A2)</f>
        <v>1</v>
      </c>
      <c r="AH2">
        <f>-_xlfn.MINIFS(Stats!O:O,Stats!H:H,A2)</f>
        <v>-2</v>
      </c>
      <c r="AI2">
        <f>_xlfn.MAXIFS(Stats!O:O,Stats!F:F,A2)</f>
        <v>23</v>
      </c>
      <c r="AJ2">
        <f>-_xlfn.MAXIFS(Stats!O:O,Stats!H:H,A2)</f>
        <v>-35</v>
      </c>
      <c r="AK2">
        <f>_xlfn.MAXIFS(Stats!I:I,Stats!F:F,A2)</f>
        <v>33</v>
      </c>
      <c r="AL2">
        <f>IF(_xlfn.MINIFS(Stats!I:I,Stats!F:F,A2)&lt;_xlfn.MINIFS(Stats!J:J,Stats!H:H,A2),_xlfn.MINIFS(Stats!I:I,Stats!F:F,A2),_xlfn.MINIFS(Stats!J:J,Stats!H:H,A2))</f>
        <v>0</v>
      </c>
      <c r="AM2">
        <f>IF(_xlfn.MAXIFS(Stats!K:K,Stats!F:F,A2)&gt;_xlfn.MAXIFS(Stats!M:M,Stats!H:H,A2),_xlfn.MAXIFS(Stats!K:K,Stats!F:F,A2),_xlfn.MAXIFS(Stats!M:M,Stats!H:H,A2))</f>
        <v>431</v>
      </c>
      <c r="AN2">
        <f>IF(_xlfn.MINIFS(Stats!M:M,Stats!H:H,A2)&lt;_xlfn.MINIFS(Stats!K:K,Stats!F:F,A2),_xlfn.MINIFS(Stats!M:M,Stats!H:H,A2),_xlfn.MINIFS(Stats!K:K,Stats!F:F,A2))</f>
        <v>203</v>
      </c>
      <c r="AO2">
        <f>SUMIFS(Stats!K:K,Stats!F:F,A2)/D2</f>
        <v>311.88888888888891</v>
      </c>
      <c r="AP2">
        <f>SUMIFS(Stats!M:M,Stats!F:F,A2)/D2</f>
        <v>285.33333333333331</v>
      </c>
      <c r="AQ2">
        <f>AO2-AP2</f>
        <v>26.5555555555556</v>
      </c>
      <c r="AR2">
        <f>SUMIFS(Stats!M:M,Stats!H:H,A2)/E2</f>
        <v>302.375</v>
      </c>
      <c r="AS2">
        <f>SUMIFS(Stats!K:K,Stats!H:H,A2)/E2</f>
        <v>396.25</v>
      </c>
      <c r="AT2">
        <f>AR2-AS2</f>
        <v>-93.875</v>
      </c>
      <c r="AU2">
        <f>(SUMIFS(Stats!I:I,Stats!E:E,"H",Stats!F:F,A2)+SUMIFS(Stats!J:J,Stats!H:H,A2,Stats!G:G,"H"))/(F2+G2)</f>
        <v>22.333333333333332</v>
      </c>
      <c r="AV2">
        <f>(SUMIFS(Stats!K:K,Stats!F:F,A2,Stats!E:E,"H")+SUMIFS(Stats!M:M,Stats!G:G,"H",Stats!H:H,A2))/(F2+G2)</f>
        <v>304.44444444444446</v>
      </c>
      <c r="AW2">
        <f>(SUMIFS(Stats!I:I,Stats!E:E,"V",Stats!F:F,A2)+SUMIFS(Stats!J:J,Stats!H:H,A2,Stats!G:G,"V"))/(H2+I2)</f>
        <v>17.5</v>
      </c>
      <c r="AX2">
        <f>(SUMIFS(Stats!K:K,Stats!F:F,A2,Stats!E:E,"V")+SUMIFS(Stats!M:M,Stats!G:G,"V",Stats!H:H,A2))/(H2+I2)</f>
        <v>310.75</v>
      </c>
    </row>
    <row r="3" spans="1:68">
      <c r="A3" t="s">
        <v>24</v>
      </c>
      <c r="B3" t="s">
        <v>126</v>
      </c>
      <c r="C3" t="s">
        <v>125</v>
      </c>
      <c r="D3">
        <f>COUNTIF(Stats!F:F,A3)</f>
        <v>12</v>
      </c>
      <c r="E3">
        <f>COUNTIF(Stats!H:H,A3)</f>
        <v>7</v>
      </c>
      <c r="F3">
        <f>COUNTIFS(Stats!F:F,A3,Stats!E:E,"H")</f>
        <v>7</v>
      </c>
      <c r="G3">
        <f>COUNTIFS(Stats!H:H,A3,Stats!G:G,"H")</f>
        <v>3</v>
      </c>
      <c r="H3">
        <f t="shared" ref="H3:I40" si="0">D3-F3</f>
        <v>5</v>
      </c>
      <c r="I3">
        <f t="shared" si="0"/>
        <v>4</v>
      </c>
      <c r="J3">
        <f>SUMIFS(Stats!I:I,Stats!F:F,A3)+SUMIFS(Stats!J:J,Stats!H:H,A3)</f>
        <v>566</v>
      </c>
      <c r="K3">
        <f t="shared" ref="K3:K40" si="1">J3/(D3+E3)</f>
        <v>29.789473684210527</v>
      </c>
      <c r="L3">
        <f>SUMIFS(Stats!I:I,Stats!H:H,A3)+SUMIFS(Stats!J:J,Stats!F:F,A3)</f>
        <v>348</v>
      </c>
      <c r="M3">
        <f t="shared" ref="M3:M40" si="2">L3/SUM(D3,E3)</f>
        <v>18.315789473684209</v>
      </c>
      <c r="N3">
        <f t="shared" ref="N3:N40" si="3">J3-L3</f>
        <v>218</v>
      </c>
      <c r="O3">
        <f t="shared" ref="O3:O40" si="4">N3/(D3+E3)</f>
        <v>11.473684210526315</v>
      </c>
      <c r="P3">
        <f>SUMIFS(Stats!K:K,Stats!F:F,A3)+SUMIFS(Stats!M:M,Stats!H:H,A3)</f>
        <v>7397</v>
      </c>
      <c r="Q3">
        <f>SUMIFS(Stats!K:K,Stats!H:H,A3)+SUMIFS(Stats!M:M,Stats!F:F,A3)</f>
        <v>5501</v>
      </c>
      <c r="R3">
        <f t="shared" ref="R3:R40" si="5">P3/(D3+E3)</f>
        <v>389.31578947368422</v>
      </c>
      <c r="S3">
        <f t="shared" ref="S3:S40" si="6">Q3/(D3+E3)</f>
        <v>289.5263157894737</v>
      </c>
      <c r="T3">
        <f t="shared" ref="T3:T40" si="7">P3-Q3</f>
        <v>1896</v>
      </c>
      <c r="U3">
        <f>SUMIFS(Stats!I:I,Stats!F:F,A3)</f>
        <v>425</v>
      </c>
      <c r="V3">
        <f t="shared" ref="V3:V40" si="8">U3/D3</f>
        <v>35.416666666666664</v>
      </c>
      <c r="W3">
        <f>SUMIFS(Stats!J:J,Stats!F:F,A3)</f>
        <v>152</v>
      </c>
      <c r="X3">
        <f t="shared" ref="X3:X40" si="9">W3/D3</f>
        <v>12.666666666666666</v>
      </c>
      <c r="Y3">
        <f t="shared" ref="Y3:Z40" si="10">U3-W3</f>
        <v>273</v>
      </c>
      <c r="Z3">
        <f>V3-X3</f>
        <v>22.75</v>
      </c>
      <c r="AA3">
        <f>SUMIFS(Stats!J:J,Stats!H:H,A3)</f>
        <v>141</v>
      </c>
      <c r="AB3">
        <f t="shared" ref="AB3:AB40" si="11">AA3/E3</f>
        <v>20.142857142857142</v>
      </c>
      <c r="AC3">
        <f>SUMIFS(Stats!I:I,Stats!H:H,A3)</f>
        <v>196</v>
      </c>
      <c r="AD3">
        <f t="shared" ref="AD3:AD40" si="12">AC3/E3</f>
        <v>28</v>
      </c>
      <c r="AE3">
        <f t="shared" ref="AE3:AF40" si="13">AA3-AC3</f>
        <v>-55</v>
      </c>
      <c r="AF3">
        <f t="shared" si="13"/>
        <v>-7.8571428571428577</v>
      </c>
      <c r="AG3">
        <f>_xlfn.MINIFS(Stats!O:O,Stats!F:F,A3)</f>
        <v>12</v>
      </c>
      <c r="AH3">
        <f>-_xlfn.MINIFS(Stats!O:O,Stats!H:H,A3)</f>
        <v>-3</v>
      </c>
      <c r="AI3">
        <f>_xlfn.MAXIFS(Stats!O:O,Stats!F:F,A3)</f>
        <v>40</v>
      </c>
      <c r="AJ3">
        <f>-_xlfn.MAXIFS(Stats!O:O,Stats!H:H,A3)</f>
        <v>-26</v>
      </c>
      <c r="AK3">
        <f>_xlfn.MAXIFS(Stats!I:I,Stats!F:F,A3)</f>
        <v>47</v>
      </c>
      <c r="AL3">
        <f>IF(_xlfn.MINIFS(Stats!I:I,Stats!F:F,A3)&lt;_xlfn.MINIFS(Stats!J:J,Stats!H:H,A3),_xlfn.MINIFS(Stats!I:I,Stats!F:F,A3),_xlfn.MINIFS(Stats!J:J,Stats!H:H,A3))</f>
        <v>6</v>
      </c>
      <c r="AM3">
        <f>IF(_xlfn.MAXIFS(Stats!K:K,Stats!F:F,A3)&gt;_xlfn.MAXIFS(Stats!M:M,Stats!H:H,A3),_xlfn.MAXIFS(Stats!K:K,Stats!F:F,A3),_xlfn.MAXIFS(Stats!M:M,Stats!H:H,A3))</f>
        <v>489</v>
      </c>
      <c r="AN3">
        <f>IF(_xlfn.MINIFS(Stats!M:M,Stats!H:H,A3)&lt;_xlfn.MINIFS(Stats!K:K,Stats!F:F,A3),_xlfn.MINIFS(Stats!M:M,Stats!H:H,A3),_xlfn.MINIFS(Stats!K:K,Stats!F:F,A3))</f>
        <v>230</v>
      </c>
      <c r="AO3">
        <f>SUMIFS(Stats!K:K,Stats!F:F,A3)/D3</f>
        <v>406.58333333333331</v>
      </c>
      <c r="AP3">
        <f>SUMIFS(Stats!M:M,Stats!F:F,A3)/D3</f>
        <v>251.5</v>
      </c>
      <c r="AQ3">
        <f t="shared" ref="AQ3:AQ40" si="14">AO3-AP3</f>
        <v>155.08333333333331</v>
      </c>
      <c r="AR3">
        <f>SUMIFS(Stats!M:M,Stats!H:H,A3)/E3</f>
        <v>359.71428571428572</v>
      </c>
      <c r="AS3">
        <f>SUMIFS(Stats!K:K,Stats!H:H,A3)/E3</f>
        <v>354.71428571428572</v>
      </c>
      <c r="AT3">
        <f t="shared" ref="AT3:AT40" si="15">AR3-AS3</f>
        <v>5</v>
      </c>
      <c r="AU3">
        <f>(SUMIFS(Stats!I:I,Stats!E:E,"H",Stats!F:F,A3)+SUMIFS(Stats!J:J,Stats!H:H,A3,Stats!G:G,"H"))/(F3+G3)</f>
        <v>28.4</v>
      </c>
      <c r="AV3">
        <f>(SUMIFS(Stats!K:K,Stats!F:F,A3,Stats!E:E,"H")+SUMIFS(Stats!M:M,Stats!G:G,"H",Stats!H:H,A3))/(F3+G3)</f>
        <v>376.3</v>
      </c>
      <c r="AW3">
        <f>(SUMIFS(Stats!I:I,Stats!E:E,"V",Stats!F:F,A3)+SUMIFS(Stats!J:J,Stats!H:H,A3,Stats!G:G,"V"))/(H3+I3)</f>
        <v>31.333333333333332</v>
      </c>
      <c r="AX3">
        <f>(SUMIFS(Stats!K:K,Stats!F:F,A3,Stats!E:E,"V")+SUMIFS(Stats!M:M,Stats!G:G,"V",Stats!H:H,A3))/(H3+I3)</f>
        <v>403.77777777777777</v>
      </c>
    </row>
    <row r="4" spans="1:68">
      <c r="A4" t="s">
        <v>47</v>
      </c>
      <c r="B4" t="s">
        <v>126</v>
      </c>
      <c r="C4" t="s">
        <v>125</v>
      </c>
      <c r="D4">
        <f>COUNTIF(Stats!F:F,A4)</f>
        <v>10</v>
      </c>
      <c r="E4">
        <f>COUNTIF(Stats!H:H,A4)</f>
        <v>8</v>
      </c>
      <c r="F4">
        <f>COUNTIFS(Stats!F:F,A4,Stats!E:E,"H")</f>
        <v>4</v>
      </c>
      <c r="G4">
        <f>COUNTIFS(Stats!H:H,A4,Stats!G:G,"H")</f>
        <v>5</v>
      </c>
      <c r="H4">
        <f t="shared" si="0"/>
        <v>6</v>
      </c>
      <c r="I4">
        <f t="shared" si="0"/>
        <v>3</v>
      </c>
      <c r="J4">
        <f>SUMIFS(Stats!I:I,Stats!F:F,A4)+SUMIFS(Stats!J:J,Stats!H:H,A4)</f>
        <v>479</v>
      </c>
      <c r="K4">
        <f t="shared" si="1"/>
        <v>26.611111111111111</v>
      </c>
      <c r="L4">
        <f>SUMIFS(Stats!I:I,Stats!H:H,A4)+SUMIFS(Stats!J:J,Stats!F:F,A4)</f>
        <v>350</v>
      </c>
      <c r="M4">
        <f t="shared" si="2"/>
        <v>19.444444444444443</v>
      </c>
      <c r="N4">
        <f t="shared" si="3"/>
        <v>129</v>
      </c>
      <c r="O4">
        <f t="shared" si="4"/>
        <v>7.166666666666667</v>
      </c>
      <c r="P4">
        <f>SUMIFS(Stats!K:K,Stats!F:F,A4)+SUMIFS(Stats!M:M,Stats!H:H,A4)</f>
        <v>6313</v>
      </c>
      <c r="Q4">
        <f>SUMIFS(Stats!K:K,Stats!H:H,A4)+SUMIFS(Stats!M:M,Stats!F:F,A4)</f>
        <v>5766</v>
      </c>
      <c r="R4">
        <f t="shared" si="5"/>
        <v>350.72222222222223</v>
      </c>
      <c r="S4">
        <f t="shared" si="6"/>
        <v>320.33333333333331</v>
      </c>
      <c r="T4">
        <f t="shared" si="7"/>
        <v>547</v>
      </c>
      <c r="U4">
        <f>SUMIFS(Stats!I:I,Stats!F:F,A4)</f>
        <v>325</v>
      </c>
      <c r="V4">
        <f t="shared" si="8"/>
        <v>32.5</v>
      </c>
      <c r="W4">
        <f>SUMIFS(Stats!J:J,Stats!F:F,A4)</f>
        <v>111</v>
      </c>
      <c r="X4">
        <f t="shared" si="9"/>
        <v>11.1</v>
      </c>
      <c r="Y4">
        <f t="shared" si="10"/>
        <v>214</v>
      </c>
      <c r="Z4">
        <f t="shared" si="10"/>
        <v>21.4</v>
      </c>
      <c r="AA4">
        <f>SUMIFS(Stats!J:J,Stats!H:H,A4)</f>
        <v>154</v>
      </c>
      <c r="AB4">
        <f t="shared" si="11"/>
        <v>19.25</v>
      </c>
      <c r="AC4">
        <f>SUMIFS(Stats!I:I,Stats!H:H,A4)</f>
        <v>239</v>
      </c>
      <c r="AD4">
        <f t="shared" si="12"/>
        <v>29.875</v>
      </c>
      <c r="AE4">
        <f t="shared" si="13"/>
        <v>-85</v>
      </c>
      <c r="AF4">
        <f t="shared" si="13"/>
        <v>-10.625</v>
      </c>
      <c r="AG4">
        <f>_xlfn.MINIFS(Stats!O:O,Stats!F:F,A4)</f>
        <v>3</v>
      </c>
      <c r="AH4">
        <f>-_xlfn.MINIFS(Stats!O:O,Stats!H:H,A4)</f>
        <v>-1</v>
      </c>
      <c r="AI4">
        <f>_xlfn.MAXIFS(Stats!O:O,Stats!F:F,A4)</f>
        <v>41</v>
      </c>
      <c r="AJ4">
        <f>-_xlfn.MAXIFS(Stats!O:O,Stats!H:H,A4)</f>
        <v>-30</v>
      </c>
      <c r="AK4">
        <f>_xlfn.MAXIFS(Stats!I:I,Stats!F:F,A4)</f>
        <v>54</v>
      </c>
      <c r="AL4">
        <f>IF(_xlfn.MINIFS(Stats!I:I,Stats!F:F,A4)&lt;_xlfn.MINIFS(Stats!J:J,Stats!H:H,A4),_xlfn.MINIFS(Stats!I:I,Stats!F:F,A4),_xlfn.MINIFS(Stats!J:J,Stats!H:H,A4))</f>
        <v>13</v>
      </c>
      <c r="AM4">
        <f>IF(_xlfn.MAXIFS(Stats!K:K,Stats!F:F,A4)&gt;_xlfn.MAXIFS(Stats!M:M,Stats!H:H,A4),_xlfn.MAXIFS(Stats!K:K,Stats!F:F,A4),_xlfn.MAXIFS(Stats!M:M,Stats!H:H,A4))</f>
        <v>551</v>
      </c>
      <c r="AN4">
        <f>IF(_xlfn.MINIFS(Stats!M:M,Stats!H:H,A4)&lt;_xlfn.MINIFS(Stats!K:K,Stats!F:F,A4),_xlfn.MINIFS(Stats!M:M,Stats!H:H,A4),_xlfn.MINIFS(Stats!K:K,Stats!F:F,A4))</f>
        <v>241</v>
      </c>
      <c r="AO4">
        <f>SUMIFS(Stats!K:K,Stats!F:F,A4)/D4</f>
        <v>365.4</v>
      </c>
      <c r="AP4">
        <f>SUMIFS(Stats!M:M,Stats!F:F,A4)/D4</f>
        <v>282.39999999999998</v>
      </c>
      <c r="AQ4">
        <f t="shared" si="14"/>
        <v>83</v>
      </c>
      <c r="AR4">
        <f>SUMIFS(Stats!M:M,Stats!H:H,A4)/E4</f>
        <v>332.375</v>
      </c>
      <c r="AS4">
        <f>SUMIFS(Stats!K:K,Stats!H:H,A4)/E4</f>
        <v>367.75</v>
      </c>
      <c r="AT4">
        <f t="shared" si="15"/>
        <v>-35.375</v>
      </c>
      <c r="AU4">
        <f>(SUMIFS(Stats!I:I,Stats!E:E,"H",Stats!F:F,A4)+SUMIFS(Stats!J:J,Stats!H:H,A4,Stats!G:G,"H"))/(F4+G4)</f>
        <v>31.222222222222221</v>
      </c>
      <c r="AV4">
        <f>(SUMIFS(Stats!K:K,Stats!F:F,A4,Stats!E:E,"H")+SUMIFS(Stats!M:M,Stats!G:G,"H",Stats!H:H,A4))/(F4+G4)</f>
        <v>386.44444444444446</v>
      </c>
      <c r="AW4">
        <f>(SUMIFS(Stats!I:I,Stats!E:E,"V",Stats!F:F,A4)+SUMIFS(Stats!J:J,Stats!H:H,A4,Stats!G:G,"V"))/(H4+I4)</f>
        <v>22</v>
      </c>
      <c r="AX4">
        <f>(SUMIFS(Stats!K:K,Stats!F:F,A4,Stats!E:E,"V")+SUMIFS(Stats!M:M,Stats!G:G,"V",Stats!H:H,A4))/(H4+I4)</f>
        <v>315</v>
      </c>
    </row>
    <row r="5" spans="1:68">
      <c r="A5" t="s">
        <v>26</v>
      </c>
      <c r="B5" t="s">
        <v>126</v>
      </c>
      <c r="C5" t="s">
        <v>125</v>
      </c>
      <c r="D5">
        <f>COUNTIF(Stats!F:F,A5)</f>
        <v>4</v>
      </c>
      <c r="E5">
        <f>COUNTIF(Stats!H:H,A5)</f>
        <v>13</v>
      </c>
      <c r="F5">
        <f>COUNTIFS(Stats!F:F,A5,Stats!E:E,"H")</f>
        <v>3</v>
      </c>
      <c r="G5">
        <f>COUNTIFS(Stats!H:H,A5,Stats!G:G,"H")</f>
        <v>6</v>
      </c>
      <c r="H5">
        <f t="shared" si="0"/>
        <v>1</v>
      </c>
      <c r="I5">
        <f t="shared" si="0"/>
        <v>7</v>
      </c>
      <c r="J5">
        <f>SUMIFS(Stats!I:I,Stats!F:F,A5)+SUMIFS(Stats!J:J,Stats!H:H,A5)</f>
        <v>310</v>
      </c>
      <c r="K5">
        <f t="shared" si="1"/>
        <v>18.235294117647058</v>
      </c>
      <c r="L5">
        <f>SUMIFS(Stats!I:I,Stats!H:H,A5)+SUMIFS(Stats!J:J,Stats!F:F,A5)</f>
        <v>504</v>
      </c>
      <c r="M5">
        <f t="shared" si="2"/>
        <v>29.647058823529413</v>
      </c>
      <c r="N5">
        <f t="shared" si="3"/>
        <v>-194</v>
      </c>
      <c r="O5">
        <f t="shared" si="4"/>
        <v>-11.411764705882353</v>
      </c>
      <c r="P5">
        <f>SUMIFS(Stats!K:K,Stats!F:F,A5)+SUMIFS(Stats!M:M,Stats!H:H,A5)</f>
        <v>5208</v>
      </c>
      <c r="Q5">
        <f>SUMIFS(Stats!K:K,Stats!H:H,A5)+SUMIFS(Stats!M:M,Stats!F:F,A5)</f>
        <v>6760</v>
      </c>
      <c r="R5">
        <f t="shared" si="5"/>
        <v>306.35294117647061</v>
      </c>
      <c r="S5">
        <f t="shared" si="6"/>
        <v>397.64705882352939</v>
      </c>
      <c r="T5">
        <f t="shared" si="7"/>
        <v>-1552</v>
      </c>
      <c r="U5">
        <f>SUMIFS(Stats!I:I,Stats!F:F,A5)</f>
        <v>108</v>
      </c>
      <c r="V5">
        <f t="shared" si="8"/>
        <v>27</v>
      </c>
      <c r="W5">
        <f>SUMIFS(Stats!J:J,Stats!F:F,A5)</f>
        <v>90</v>
      </c>
      <c r="X5">
        <f t="shared" si="9"/>
        <v>22.5</v>
      </c>
      <c r="Y5">
        <f t="shared" si="10"/>
        <v>18</v>
      </c>
      <c r="Z5">
        <f t="shared" si="10"/>
        <v>4.5</v>
      </c>
      <c r="AA5">
        <f>SUMIFS(Stats!J:J,Stats!H:H,A5)</f>
        <v>202</v>
      </c>
      <c r="AB5">
        <f t="shared" si="11"/>
        <v>15.538461538461538</v>
      </c>
      <c r="AC5">
        <f>SUMIFS(Stats!I:I,Stats!H:H,A5)</f>
        <v>414</v>
      </c>
      <c r="AD5">
        <f t="shared" si="12"/>
        <v>31.846153846153847</v>
      </c>
      <c r="AE5">
        <f t="shared" si="13"/>
        <v>-212</v>
      </c>
      <c r="AF5">
        <f t="shared" si="13"/>
        <v>-16.307692307692307</v>
      </c>
      <c r="AG5">
        <f>_xlfn.MINIFS(Stats!O:O,Stats!F:F,A5)</f>
        <v>3</v>
      </c>
      <c r="AH5">
        <f>-_xlfn.MINIFS(Stats!O:O,Stats!H:H,A5)</f>
        <v>-4</v>
      </c>
      <c r="AI5">
        <f>_xlfn.MAXIFS(Stats!O:O,Stats!F:F,A5)</f>
        <v>7</v>
      </c>
      <c r="AJ5">
        <f>-_xlfn.MAXIFS(Stats!O:O,Stats!H:H,A5)</f>
        <v>-41</v>
      </c>
      <c r="AK5">
        <f>_xlfn.MAXIFS(Stats!I:I,Stats!F:F,A5)</f>
        <v>34</v>
      </c>
      <c r="AL5">
        <f>IF(_xlfn.MINIFS(Stats!I:I,Stats!F:F,A5)&lt;_xlfn.MINIFS(Stats!J:J,Stats!H:H,A5),_xlfn.MINIFS(Stats!I:I,Stats!F:F,A5),_xlfn.MINIFS(Stats!J:J,Stats!H:H,A5))</f>
        <v>0</v>
      </c>
      <c r="AM5">
        <f>IF(_xlfn.MAXIFS(Stats!K:K,Stats!F:F,A5)&gt;_xlfn.MAXIFS(Stats!M:M,Stats!H:H,A5),_xlfn.MAXIFS(Stats!K:K,Stats!F:F,A5),_xlfn.MAXIFS(Stats!M:M,Stats!H:H,A5))</f>
        <v>511</v>
      </c>
      <c r="AN5">
        <f>IF(_xlfn.MINIFS(Stats!M:M,Stats!H:H,A5)&lt;_xlfn.MINIFS(Stats!K:K,Stats!F:F,A5),_xlfn.MINIFS(Stats!M:M,Stats!H:H,A5),_xlfn.MINIFS(Stats!K:K,Stats!F:F,A5))</f>
        <v>53</v>
      </c>
      <c r="AO5">
        <f>SUMIFS(Stats!K:K,Stats!F:F,A5)/D5</f>
        <v>376.25</v>
      </c>
      <c r="AP5">
        <f>SUMIFS(Stats!M:M,Stats!F:F,A5)/D5</f>
        <v>333.5</v>
      </c>
      <c r="AQ5">
        <f t="shared" si="14"/>
        <v>42.75</v>
      </c>
      <c r="AR5">
        <f>SUMIFS(Stats!M:M,Stats!H:H,A5)/E5</f>
        <v>284.84615384615387</v>
      </c>
      <c r="AS5">
        <f>SUMIFS(Stats!K:K,Stats!H:H,A5)/E5</f>
        <v>417.38461538461536</v>
      </c>
      <c r="AT5">
        <f t="shared" si="15"/>
        <v>-132.53846153846149</v>
      </c>
      <c r="AU5">
        <f>(SUMIFS(Stats!I:I,Stats!E:E,"H",Stats!F:F,A5)+SUMIFS(Stats!J:J,Stats!H:H,A5,Stats!G:G,"H"))/(F5+G5)</f>
        <v>19.777777777777779</v>
      </c>
      <c r="AV5">
        <f>(SUMIFS(Stats!K:K,Stats!F:F,A5,Stats!E:E,"H")+SUMIFS(Stats!M:M,Stats!G:G,"H",Stats!H:H,A5))/(F5+G5)</f>
        <v>359.11111111111109</v>
      </c>
      <c r="AW5">
        <f>(SUMIFS(Stats!I:I,Stats!E:E,"V",Stats!F:F,A5)+SUMIFS(Stats!J:J,Stats!H:H,A5,Stats!G:G,"V"))/(H5+I5)</f>
        <v>16.5</v>
      </c>
      <c r="AX5">
        <f>(SUMIFS(Stats!K:K,Stats!F:F,A5,Stats!E:E,"V")+SUMIFS(Stats!M:M,Stats!G:G,"V",Stats!H:H,A5))/(H5+I5)</f>
        <v>247</v>
      </c>
    </row>
    <row r="6" spans="1:68">
      <c r="N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8"/>
      <c r="AC6" s="15"/>
      <c r="AD6" s="18"/>
      <c r="AE6" s="15"/>
      <c r="AF6" s="18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</row>
    <row r="7" spans="1:68">
      <c r="A7" t="s">
        <v>23</v>
      </c>
      <c r="B7" t="s">
        <v>126</v>
      </c>
      <c r="C7" t="s">
        <v>127</v>
      </c>
      <c r="D7">
        <f>COUNTIF(Stats!F:F,A7)</f>
        <v>10</v>
      </c>
      <c r="E7">
        <f>COUNTIF(Stats!H:H,A7)</f>
        <v>8</v>
      </c>
      <c r="F7">
        <f>COUNTIFS(Stats!F:F,A7,Stats!E:E,"H")</f>
        <v>7</v>
      </c>
      <c r="G7">
        <f>COUNTIFS(Stats!H:H,A7,Stats!G:G,"H")</f>
        <v>2</v>
      </c>
      <c r="H7">
        <f t="shared" si="0"/>
        <v>3</v>
      </c>
      <c r="I7">
        <f t="shared" si="0"/>
        <v>6</v>
      </c>
      <c r="J7">
        <f>SUMIFS(Stats!I:I,Stats!F:F,A7)+SUMIFS(Stats!J:J,Stats!H:H,A7)</f>
        <v>364</v>
      </c>
      <c r="K7">
        <f t="shared" si="1"/>
        <v>20.222222222222221</v>
      </c>
      <c r="L7">
        <f>SUMIFS(Stats!I:I,Stats!H:H,A7)+SUMIFS(Stats!J:J,Stats!F:F,A7)</f>
        <v>440</v>
      </c>
      <c r="M7">
        <f t="shared" si="2"/>
        <v>24.444444444444443</v>
      </c>
      <c r="N7">
        <f t="shared" si="3"/>
        <v>-76</v>
      </c>
      <c r="O7">
        <f t="shared" si="4"/>
        <v>-4.2222222222222223</v>
      </c>
      <c r="P7">
        <f>SUMIFS(Stats!K:K,Stats!F:F,A7)+SUMIFS(Stats!M:M,Stats!H:H,A7)</f>
        <v>5618</v>
      </c>
      <c r="Q7">
        <f>SUMIFS(Stats!K:K,Stats!H:H,A7)+SUMIFS(Stats!M:M,Stats!F:F,A7)</f>
        <v>6617</v>
      </c>
      <c r="R7">
        <f t="shared" si="5"/>
        <v>312.11111111111109</v>
      </c>
      <c r="S7">
        <f t="shared" si="6"/>
        <v>367.61111111111109</v>
      </c>
      <c r="T7">
        <f t="shared" si="7"/>
        <v>-999</v>
      </c>
      <c r="U7">
        <f>SUMIFS(Stats!I:I,Stats!F:F,A7)</f>
        <v>214</v>
      </c>
      <c r="V7">
        <f t="shared" si="8"/>
        <v>21.4</v>
      </c>
      <c r="W7">
        <f>SUMIFS(Stats!J:J,Stats!F:F,A7)</f>
        <v>167</v>
      </c>
      <c r="X7">
        <f t="shared" si="9"/>
        <v>16.7</v>
      </c>
      <c r="Y7">
        <f t="shared" si="10"/>
        <v>47</v>
      </c>
      <c r="Z7">
        <f t="shared" si="10"/>
        <v>4.6999999999999993</v>
      </c>
      <c r="AA7">
        <f>SUMIFS(Stats!J:J,Stats!H:H,A7)</f>
        <v>150</v>
      </c>
      <c r="AB7">
        <f t="shared" si="11"/>
        <v>18.75</v>
      </c>
      <c r="AC7">
        <f>SUMIFS(Stats!I:I,Stats!H:H,A7)</f>
        <v>273</v>
      </c>
      <c r="AD7">
        <f t="shared" si="12"/>
        <v>34.125</v>
      </c>
      <c r="AE7">
        <f t="shared" si="13"/>
        <v>-123</v>
      </c>
      <c r="AF7">
        <f t="shared" si="13"/>
        <v>-15.375</v>
      </c>
      <c r="AG7">
        <f>_xlfn.MINIFS(Stats!O:O,Stats!F:F,A7)</f>
        <v>1</v>
      </c>
      <c r="AH7">
        <f>-_xlfn.MINIFS(Stats!O:O,Stats!H:H,A7)</f>
        <v>-4</v>
      </c>
      <c r="AI7">
        <f>_xlfn.MAXIFS(Stats!O:O,Stats!F:F,A7)</f>
        <v>12</v>
      </c>
      <c r="AJ7">
        <f>-_xlfn.MAXIFS(Stats!O:O,Stats!H:H,A7)</f>
        <v>-31</v>
      </c>
      <c r="AK7">
        <f>_xlfn.MAXIFS(Stats!I:I,Stats!F:F,A7)</f>
        <v>29</v>
      </c>
      <c r="AL7">
        <f>IF(_xlfn.MINIFS(Stats!I:I,Stats!F:F,A7)&lt;_xlfn.MINIFS(Stats!J:J,Stats!H:H,A7),_xlfn.MINIFS(Stats!I:I,Stats!F:F,A7),_xlfn.MINIFS(Stats!J:J,Stats!H:H,A7))</f>
        <v>10</v>
      </c>
      <c r="AM7">
        <f>IF(_xlfn.MAXIFS(Stats!K:K,Stats!F:F,A7)&gt;_xlfn.MAXIFS(Stats!M:M,Stats!H:H,A7),_xlfn.MAXIFS(Stats!K:K,Stats!F:F,A7),_xlfn.MAXIFS(Stats!M:M,Stats!H:H,A7))</f>
        <v>391</v>
      </c>
      <c r="AN7">
        <f>IF(_xlfn.MINIFS(Stats!M:M,Stats!H:H,A7)&lt;_xlfn.MINIFS(Stats!K:K,Stats!F:F,A7),_xlfn.MINIFS(Stats!M:M,Stats!H:H,A7),_xlfn.MINIFS(Stats!K:K,Stats!F:F,A7))</f>
        <v>168</v>
      </c>
      <c r="AO7">
        <f>SUMIFS(Stats!K:K,Stats!F:F,A7)/D7</f>
        <v>312.7</v>
      </c>
      <c r="AP7">
        <f>SUMIFS(Stats!M:M,Stats!F:F,A7)/D7</f>
        <v>333.7</v>
      </c>
      <c r="AQ7">
        <f t="shared" si="14"/>
        <v>-21</v>
      </c>
      <c r="AR7">
        <f>SUMIFS(Stats!M:M,Stats!H:H,A7)/E7</f>
        <v>311.375</v>
      </c>
      <c r="AS7">
        <f>SUMIFS(Stats!K:K,Stats!H:H,A7)/E7</f>
        <v>410</v>
      </c>
      <c r="AT7">
        <f t="shared" si="15"/>
        <v>-98.625</v>
      </c>
      <c r="AU7">
        <f>(SUMIFS(Stats!I:I,Stats!E:E,"H",Stats!F:F,A7)+SUMIFS(Stats!J:J,Stats!H:H,A7,Stats!G:G,"H"))/(F7+G7)</f>
        <v>20.777777777777779</v>
      </c>
      <c r="AV7">
        <f>(SUMIFS(Stats!K:K,Stats!F:F,A7,Stats!E:E,"H")+SUMIFS(Stats!M:M,Stats!G:G,"H",Stats!H:H,A7))/(F7+G7)</f>
        <v>318.22222222222223</v>
      </c>
      <c r="AW7">
        <f>(SUMIFS(Stats!I:I,Stats!E:E,"V",Stats!F:F,A7)+SUMIFS(Stats!J:J,Stats!H:H,A7,Stats!G:G,"V"))/(H7+I7)</f>
        <v>19.666666666666668</v>
      </c>
      <c r="AX7">
        <f>(SUMIFS(Stats!K:K,Stats!F:F,A7,Stats!E:E,"V")+SUMIFS(Stats!M:M,Stats!G:G,"V",Stats!H:H,A7))/(H7+I7)</f>
        <v>306</v>
      </c>
    </row>
    <row r="8" spans="1:68">
      <c r="A8" t="s">
        <v>27</v>
      </c>
      <c r="B8" t="s">
        <v>126</v>
      </c>
      <c r="C8" t="s">
        <v>127</v>
      </c>
      <c r="D8">
        <f>COUNTIF(Stats!F:F,A8)</f>
        <v>13</v>
      </c>
      <c r="E8">
        <f>COUNTIF(Stats!H:H,A8)</f>
        <v>8</v>
      </c>
      <c r="F8">
        <f>COUNTIFS(Stats!F:F,A8,Stats!E:E,"H")</f>
        <v>6</v>
      </c>
      <c r="G8">
        <f>COUNTIFS(Stats!H:H,A8,Stats!G:G,"H")</f>
        <v>4</v>
      </c>
      <c r="H8">
        <f t="shared" si="0"/>
        <v>7</v>
      </c>
      <c r="I8">
        <f t="shared" si="0"/>
        <v>4</v>
      </c>
      <c r="J8">
        <f>SUMIFS(Stats!I:I,Stats!F:F,A8)+SUMIFS(Stats!J:J,Stats!H:H,A8)</f>
        <v>552</v>
      </c>
      <c r="K8">
        <f t="shared" si="1"/>
        <v>26.285714285714285</v>
      </c>
      <c r="L8">
        <f>SUMIFS(Stats!I:I,Stats!H:H,A8)+SUMIFS(Stats!J:J,Stats!F:F,A8)</f>
        <v>458</v>
      </c>
      <c r="M8">
        <f t="shared" si="2"/>
        <v>21.80952380952381</v>
      </c>
      <c r="N8">
        <f t="shared" si="3"/>
        <v>94</v>
      </c>
      <c r="O8">
        <f t="shared" si="4"/>
        <v>4.4761904761904763</v>
      </c>
      <c r="P8">
        <f>SUMIFS(Stats!K:K,Stats!F:F,A8)+SUMIFS(Stats!M:M,Stats!H:H,A8)</f>
        <v>7462</v>
      </c>
      <c r="Q8">
        <f>SUMIFS(Stats!K:K,Stats!H:H,A8)+SUMIFS(Stats!M:M,Stats!F:F,A8)</f>
        <v>7390</v>
      </c>
      <c r="R8">
        <f t="shared" si="5"/>
        <v>355.33333333333331</v>
      </c>
      <c r="S8">
        <f t="shared" si="6"/>
        <v>351.90476190476193</v>
      </c>
      <c r="T8">
        <f t="shared" si="7"/>
        <v>72</v>
      </c>
      <c r="U8">
        <f>SUMIFS(Stats!I:I,Stats!F:F,A8)</f>
        <v>385</v>
      </c>
      <c r="V8">
        <f t="shared" si="8"/>
        <v>29.615384615384617</v>
      </c>
      <c r="W8">
        <f>SUMIFS(Stats!J:J,Stats!F:F,A8)</f>
        <v>227</v>
      </c>
      <c r="X8">
        <f t="shared" si="9"/>
        <v>17.46153846153846</v>
      </c>
      <c r="Y8">
        <f t="shared" si="10"/>
        <v>158</v>
      </c>
      <c r="Z8">
        <f t="shared" si="10"/>
        <v>12.153846153846157</v>
      </c>
      <c r="AA8">
        <f>SUMIFS(Stats!J:J,Stats!H:H,A8)</f>
        <v>167</v>
      </c>
      <c r="AB8">
        <f t="shared" si="11"/>
        <v>20.875</v>
      </c>
      <c r="AC8">
        <f>SUMIFS(Stats!I:I,Stats!H:H,A8)</f>
        <v>231</v>
      </c>
      <c r="AD8">
        <f t="shared" si="12"/>
        <v>28.875</v>
      </c>
      <c r="AE8">
        <f t="shared" si="13"/>
        <v>-64</v>
      </c>
      <c r="AF8">
        <f t="shared" si="13"/>
        <v>-8</v>
      </c>
      <c r="AG8">
        <f>_xlfn.MINIFS(Stats!O:O,Stats!F:F,A8)</f>
        <v>3</v>
      </c>
      <c r="AH8">
        <f>-_xlfn.MINIFS(Stats!O:O,Stats!H:H,A8)</f>
        <v>-3</v>
      </c>
      <c r="AI8">
        <f>_xlfn.MAXIFS(Stats!O:O,Stats!F:F,A8)</f>
        <v>31</v>
      </c>
      <c r="AJ8">
        <f>-_xlfn.MAXIFS(Stats!O:O,Stats!H:H,A8)</f>
        <v>-25</v>
      </c>
      <c r="AK8">
        <f>_xlfn.MAXIFS(Stats!I:I,Stats!F:F,A8)</f>
        <v>41</v>
      </c>
      <c r="AL8">
        <f>IF(_xlfn.MINIFS(Stats!I:I,Stats!F:F,A8)&lt;_xlfn.MINIFS(Stats!J:J,Stats!H:H,A8),_xlfn.MINIFS(Stats!I:I,Stats!F:F,A8),_xlfn.MINIFS(Stats!J:J,Stats!H:H,A8))</f>
        <v>15</v>
      </c>
      <c r="AM8">
        <f>IF(_xlfn.MAXIFS(Stats!K:K,Stats!F:F,A8)&gt;_xlfn.MAXIFS(Stats!M:M,Stats!H:H,A8),_xlfn.MAXIFS(Stats!K:K,Stats!F:F,A8),_xlfn.MAXIFS(Stats!M:M,Stats!H:H,A8))</f>
        <v>575</v>
      </c>
      <c r="AN8">
        <f>IF(_xlfn.MINIFS(Stats!M:M,Stats!H:H,A8)&lt;_xlfn.MINIFS(Stats!K:K,Stats!F:F,A8),_xlfn.MINIFS(Stats!M:M,Stats!H:H,A8),_xlfn.MINIFS(Stats!K:K,Stats!F:F,A8))</f>
        <v>182</v>
      </c>
      <c r="AO8">
        <f>SUMIFS(Stats!K:K,Stats!F:F,A8)/D8</f>
        <v>380.07692307692309</v>
      </c>
      <c r="AP8">
        <f>SUMIFS(Stats!M:M,Stats!F:F,A8)/D8</f>
        <v>341.46153846153845</v>
      </c>
      <c r="AQ8">
        <f t="shared" si="14"/>
        <v>38.615384615384642</v>
      </c>
      <c r="AR8">
        <f>SUMIFS(Stats!M:M,Stats!H:H,A8)/E8</f>
        <v>315.125</v>
      </c>
      <c r="AS8">
        <f>SUMIFS(Stats!K:K,Stats!H:H,A8)/E8</f>
        <v>368.875</v>
      </c>
      <c r="AT8">
        <f t="shared" si="15"/>
        <v>-53.75</v>
      </c>
      <c r="AU8">
        <f>(SUMIFS(Stats!I:I,Stats!E:E,"H",Stats!F:F,A8)+SUMIFS(Stats!J:J,Stats!H:H,A8,Stats!G:G,"H"))/(F8+G8)</f>
        <v>27.6</v>
      </c>
      <c r="AV8">
        <f>(SUMIFS(Stats!K:K,Stats!F:F,A8,Stats!E:E,"H")+SUMIFS(Stats!M:M,Stats!G:G,"H",Stats!H:H,A8))/(F8+G8)</f>
        <v>398.2</v>
      </c>
      <c r="AW8">
        <f>(SUMIFS(Stats!I:I,Stats!E:E,"V",Stats!F:F,A8)+SUMIFS(Stats!J:J,Stats!H:H,A8,Stats!G:G,"V"))/(H8+I8)</f>
        <v>25.09090909090909</v>
      </c>
      <c r="AX8">
        <f>(SUMIFS(Stats!K:K,Stats!F:F,A8,Stats!E:E,"V")+SUMIFS(Stats!M:M,Stats!G:G,"V",Stats!H:H,A8))/(H8+I8)</f>
        <v>316.36363636363637</v>
      </c>
    </row>
    <row r="9" spans="1:68">
      <c r="A9" t="s">
        <v>41</v>
      </c>
      <c r="B9" t="s">
        <v>126</v>
      </c>
      <c r="C9" t="s">
        <v>127</v>
      </c>
      <c r="D9">
        <f>COUNTIF(Stats!F:F,A9)</f>
        <v>8</v>
      </c>
      <c r="E9">
        <f>COUNTIF(Stats!H:H,A9)</f>
        <v>9</v>
      </c>
      <c r="F9">
        <f>COUNTIFS(Stats!F:F,A9,Stats!E:E,"H")</f>
        <v>6</v>
      </c>
      <c r="G9">
        <f>COUNTIFS(Stats!H:H,A9,Stats!G:G,"H")</f>
        <v>3</v>
      </c>
      <c r="H9">
        <f t="shared" si="0"/>
        <v>2</v>
      </c>
      <c r="I9">
        <f t="shared" si="0"/>
        <v>6</v>
      </c>
      <c r="J9">
        <f>SUMIFS(Stats!I:I,Stats!F:F,A9)+SUMIFS(Stats!J:J,Stats!H:H,A9)</f>
        <v>349</v>
      </c>
      <c r="K9">
        <f t="shared" si="1"/>
        <v>20.529411764705884</v>
      </c>
      <c r="L9">
        <f>SUMIFS(Stats!I:I,Stats!H:H,A9)+SUMIFS(Stats!J:J,Stats!F:F,A9)</f>
        <v>371</v>
      </c>
      <c r="M9">
        <f t="shared" si="2"/>
        <v>21.823529411764707</v>
      </c>
      <c r="N9">
        <f t="shared" si="3"/>
        <v>-22</v>
      </c>
      <c r="O9">
        <f t="shared" si="4"/>
        <v>-1.2941176470588236</v>
      </c>
      <c r="P9">
        <f>SUMIFS(Stats!K:K,Stats!F:F,A9)+SUMIFS(Stats!M:M,Stats!H:H,A9)</f>
        <v>5791</v>
      </c>
      <c r="Q9">
        <f>SUMIFS(Stats!K:K,Stats!H:H,A9)+SUMIFS(Stats!M:M,Stats!F:F,A9)</f>
        <v>5296</v>
      </c>
      <c r="R9">
        <f t="shared" si="5"/>
        <v>340.64705882352939</v>
      </c>
      <c r="S9">
        <f t="shared" si="6"/>
        <v>311.52941176470586</v>
      </c>
      <c r="T9">
        <f t="shared" si="7"/>
        <v>495</v>
      </c>
      <c r="U9">
        <f>SUMIFS(Stats!I:I,Stats!F:F,A9)</f>
        <v>187</v>
      </c>
      <c r="V9">
        <f t="shared" si="8"/>
        <v>23.375</v>
      </c>
      <c r="W9">
        <f>SUMIFS(Stats!J:J,Stats!F:F,A9)</f>
        <v>112</v>
      </c>
      <c r="X9">
        <f t="shared" si="9"/>
        <v>14</v>
      </c>
      <c r="Y9">
        <f t="shared" si="10"/>
        <v>75</v>
      </c>
      <c r="Z9">
        <f t="shared" si="10"/>
        <v>9.375</v>
      </c>
      <c r="AA9">
        <f>SUMIFS(Stats!J:J,Stats!H:H,A9)</f>
        <v>162</v>
      </c>
      <c r="AB9">
        <f t="shared" si="11"/>
        <v>18</v>
      </c>
      <c r="AC9">
        <f>SUMIFS(Stats!I:I,Stats!H:H,A9)</f>
        <v>259</v>
      </c>
      <c r="AD9">
        <f t="shared" si="12"/>
        <v>28.777777777777779</v>
      </c>
      <c r="AE9">
        <f t="shared" si="13"/>
        <v>-97</v>
      </c>
      <c r="AF9">
        <f t="shared" si="13"/>
        <v>-10.777777777777779</v>
      </c>
      <c r="AG9">
        <f>_xlfn.MINIFS(Stats!O:O,Stats!F:F,A9)</f>
        <v>2</v>
      </c>
      <c r="AH9">
        <f>-_xlfn.MINIFS(Stats!O:O,Stats!H:H,A9)</f>
        <v>-2</v>
      </c>
      <c r="AI9">
        <f>_xlfn.MAXIFS(Stats!O:O,Stats!F:F,A9)</f>
        <v>25</v>
      </c>
      <c r="AJ9">
        <f>-_xlfn.MAXIFS(Stats!O:O,Stats!H:H,A9)</f>
        <v>-38</v>
      </c>
      <c r="AK9">
        <f>_xlfn.MAXIFS(Stats!I:I,Stats!F:F,A9)</f>
        <v>41</v>
      </c>
      <c r="AL9">
        <f>IF(_xlfn.MINIFS(Stats!I:I,Stats!F:F,A9)&lt;_xlfn.MINIFS(Stats!J:J,Stats!H:H,A9),_xlfn.MINIFS(Stats!I:I,Stats!F:F,A9),_xlfn.MINIFS(Stats!J:J,Stats!H:H,A9))</f>
        <v>7</v>
      </c>
      <c r="AM9">
        <f>IF(_xlfn.MAXIFS(Stats!K:K,Stats!F:F,A9)&gt;_xlfn.MAXIFS(Stats!M:M,Stats!H:H,A9),_xlfn.MAXIFS(Stats!K:K,Stats!F:F,A9),_xlfn.MAXIFS(Stats!M:M,Stats!H:H,A9))</f>
        <v>531</v>
      </c>
      <c r="AN9">
        <f>IF(_xlfn.MINIFS(Stats!M:M,Stats!H:H,A9)&lt;_xlfn.MINIFS(Stats!K:K,Stats!F:F,A9),_xlfn.MINIFS(Stats!M:M,Stats!H:H,A9),_xlfn.MINIFS(Stats!K:K,Stats!F:F,A9))</f>
        <v>217</v>
      </c>
      <c r="AO9">
        <f>SUMIFS(Stats!K:K,Stats!F:F,A9)/D9</f>
        <v>356.5</v>
      </c>
      <c r="AP9">
        <f>SUMIFS(Stats!M:M,Stats!F:F,A9)/D9</f>
        <v>248.875</v>
      </c>
      <c r="AQ9">
        <f t="shared" si="14"/>
        <v>107.625</v>
      </c>
      <c r="AR9">
        <f>SUMIFS(Stats!M:M,Stats!H:H,A9)/E9</f>
        <v>326.55555555555554</v>
      </c>
      <c r="AS9">
        <f>SUMIFS(Stats!K:K,Stats!H:H,A9)/E9</f>
        <v>367.22222222222223</v>
      </c>
      <c r="AT9">
        <f t="shared" si="15"/>
        <v>-40.666666666666686</v>
      </c>
      <c r="AU9">
        <f>(SUMIFS(Stats!I:I,Stats!E:E,"H",Stats!F:F,A9)+SUMIFS(Stats!J:J,Stats!H:H,A9,Stats!G:G,"H"))/(F9+G9)</f>
        <v>18.888888888888889</v>
      </c>
      <c r="AV9">
        <f>(SUMIFS(Stats!K:K,Stats!F:F,A9,Stats!E:E,"H")+SUMIFS(Stats!M:M,Stats!G:G,"H",Stats!H:H,A9))/(F9+G9)</f>
        <v>332.88888888888891</v>
      </c>
      <c r="AW9">
        <f>(SUMIFS(Stats!I:I,Stats!E:E,"V",Stats!F:F,A9)+SUMIFS(Stats!J:J,Stats!H:H,A9,Stats!G:G,"V"))/(H9+I9)</f>
        <v>22.375</v>
      </c>
      <c r="AX9">
        <f>(SUMIFS(Stats!K:K,Stats!F:F,A9,Stats!E:E,"V")+SUMIFS(Stats!M:M,Stats!G:G,"V",Stats!H:H,A9))/(H9+I9)</f>
        <v>349.375</v>
      </c>
    </row>
    <row r="10" spans="1:68">
      <c r="A10" t="s">
        <v>53</v>
      </c>
      <c r="B10" t="s">
        <v>126</v>
      </c>
      <c r="C10" t="s">
        <v>127</v>
      </c>
      <c r="D10">
        <f>COUNTIF(Stats!F:F,A10)</f>
        <v>8</v>
      </c>
      <c r="E10">
        <f>COUNTIF(Stats!H:H,A10)</f>
        <v>9</v>
      </c>
      <c r="F10">
        <f>COUNTIFS(Stats!F:F,A10,Stats!E:E,"H")</f>
        <v>5</v>
      </c>
      <c r="G10">
        <f>COUNTIFS(Stats!H:H,A10,Stats!G:G,"H")</f>
        <v>4</v>
      </c>
      <c r="H10">
        <f t="shared" si="0"/>
        <v>3</v>
      </c>
      <c r="I10">
        <f t="shared" si="0"/>
        <v>5</v>
      </c>
      <c r="J10">
        <f>SUMIFS(Stats!I:I,Stats!F:F,A10)+SUMIFS(Stats!J:J,Stats!H:H,A10)</f>
        <v>387</v>
      </c>
      <c r="K10">
        <f t="shared" si="1"/>
        <v>22.764705882352942</v>
      </c>
      <c r="L10">
        <f>SUMIFS(Stats!I:I,Stats!H:H,A10)+SUMIFS(Stats!J:J,Stats!F:F,A10)</f>
        <v>392</v>
      </c>
      <c r="M10">
        <f t="shared" si="2"/>
        <v>23.058823529411764</v>
      </c>
      <c r="N10">
        <f t="shared" si="3"/>
        <v>-5</v>
      </c>
      <c r="O10">
        <f t="shared" si="4"/>
        <v>-0.29411764705882354</v>
      </c>
      <c r="P10">
        <f>SUMIFS(Stats!K:K,Stats!F:F,A10)+SUMIFS(Stats!M:M,Stats!H:H,A10)</f>
        <v>6440</v>
      </c>
      <c r="Q10">
        <f>SUMIFS(Stats!K:K,Stats!H:H,A10)+SUMIFS(Stats!M:M,Stats!F:F,A10)</f>
        <v>6178</v>
      </c>
      <c r="R10">
        <f t="shared" si="5"/>
        <v>378.8235294117647</v>
      </c>
      <c r="S10">
        <f t="shared" si="6"/>
        <v>363.41176470588238</v>
      </c>
      <c r="T10">
        <f t="shared" si="7"/>
        <v>262</v>
      </c>
      <c r="U10">
        <f>SUMIFS(Stats!I:I,Stats!F:F,A10)</f>
        <v>209</v>
      </c>
      <c r="V10">
        <f t="shared" si="8"/>
        <v>26.125</v>
      </c>
      <c r="W10">
        <f>SUMIFS(Stats!J:J,Stats!F:F,A10)</f>
        <v>144</v>
      </c>
      <c r="X10">
        <f t="shared" si="9"/>
        <v>18</v>
      </c>
      <c r="Y10">
        <f t="shared" si="10"/>
        <v>65</v>
      </c>
      <c r="Z10">
        <f t="shared" si="10"/>
        <v>8.125</v>
      </c>
      <c r="AA10">
        <f>SUMIFS(Stats!J:J,Stats!H:H,A10)</f>
        <v>178</v>
      </c>
      <c r="AB10">
        <f t="shared" si="11"/>
        <v>19.777777777777779</v>
      </c>
      <c r="AC10">
        <f>SUMIFS(Stats!I:I,Stats!H:H,A10)</f>
        <v>248</v>
      </c>
      <c r="AD10">
        <f t="shared" si="12"/>
        <v>27.555555555555557</v>
      </c>
      <c r="AE10">
        <f t="shared" si="13"/>
        <v>-70</v>
      </c>
      <c r="AF10">
        <f t="shared" si="13"/>
        <v>-7.7777777777777786</v>
      </c>
      <c r="AG10">
        <f>_xlfn.MINIFS(Stats!O:O,Stats!F:F,A10)</f>
        <v>1</v>
      </c>
      <c r="AH10">
        <f>-_xlfn.MINIFS(Stats!O:O,Stats!H:H,A10)</f>
        <v>-1</v>
      </c>
      <c r="AI10">
        <f>_xlfn.MAXIFS(Stats!O:O,Stats!F:F,A10)</f>
        <v>28</v>
      </c>
      <c r="AJ10">
        <f>-_xlfn.MAXIFS(Stats!O:O,Stats!H:H,A10)</f>
        <v>-24</v>
      </c>
      <c r="AK10">
        <f>_xlfn.MAXIFS(Stats!I:I,Stats!F:F,A10)</f>
        <v>36</v>
      </c>
      <c r="AL10">
        <f>IF(_xlfn.MINIFS(Stats!I:I,Stats!F:F,A10)&lt;_xlfn.MINIFS(Stats!J:J,Stats!H:H,A10),_xlfn.MINIFS(Stats!I:I,Stats!F:F,A10),_xlfn.MINIFS(Stats!J:J,Stats!H:H,A10))</f>
        <v>10</v>
      </c>
      <c r="AM10">
        <f>IF(_xlfn.MAXIFS(Stats!K:K,Stats!F:F,A10)&gt;_xlfn.MAXIFS(Stats!M:M,Stats!H:H,A10),_xlfn.MAXIFS(Stats!K:K,Stats!F:F,A10),_xlfn.MAXIFS(Stats!M:M,Stats!H:H,A10))</f>
        <v>523</v>
      </c>
      <c r="AN10">
        <f>IF(_xlfn.MINIFS(Stats!M:M,Stats!H:H,A10)&lt;_xlfn.MINIFS(Stats!K:K,Stats!F:F,A10),_xlfn.MINIFS(Stats!M:M,Stats!H:H,A10),_xlfn.MINIFS(Stats!K:K,Stats!F:F,A10))</f>
        <v>299</v>
      </c>
      <c r="AO10">
        <f>SUMIFS(Stats!K:K,Stats!F:F,A10)/D10</f>
        <v>403.25</v>
      </c>
      <c r="AP10">
        <f>SUMIFS(Stats!M:M,Stats!F:F,A10)/D10</f>
        <v>324.75</v>
      </c>
      <c r="AQ10">
        <f t="shared" si="14"/>
        <v>78.5</v>
      </c>
      <c r="AR10">
        <f>SUMIFS(Stats!M:M,Stats!H:H,A10)/E10</f>
        <v>357.11111111111109</v>
      </c>
      <c r="AS10">
        <f>SUMIFS(Stats!K:K,Stats!H:H,A10)/E10</f>
        <v>397.77777777777777</v>
      </c>
      <c r="AT10">
        <f t="shared" si="15"/>
        <v>-40.666666666666686</v>
      </c>
      <c r="AU10">
        <f>(SUMIFS(Stats!I:I,Stats!E:E,"H",Stats!F:F,A10)+SUMIFS(Stats!J:J,Stats!H:H,A10,Stats!G:G,"H"))/(F10+G10)</f>
        <v>25.555555555555557</v>
      </c>
      <c r="AV10">
        <f>(SUMIFS(Stats!K:K,Stats!F:F,A10,Stats!E:E,"H")+SUMIFS(Stats!M:M,Stats!G:G,"H",Stats!H:H,A10))/(F10+G10)</f>
        <v>398.77777777777777</v>
      </c>
      <c r="AW10">
        <f>(SUMIFS(Stats!I:I,Stats!E:E,"V",Stats!F:F,A10)+SUMIFS(Stats!J:J,Stats!H:H,A10,Stats!G:G,"V"))/(H10+I10)</f>
        <v>19.625</v>
      </c>
      <c r="AX10">
        <f>(SUMIFS(Stats!K:K,Stats!F:F,A10,Stats!E:E,"V")+SUMIFS(Stats!M:M,Stats!G:G,"V",Stats!H:H,A10))/(H10+I10)</f>
        <v>356.375</v>
      </c>
    </row>
    <row r="11" spans="1:68">
      <c r="N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8"/>
      <c r="AC11" s="15"/>
      <c r="AD11" s="18"/>
      <c r="AE11" s="15"/>
      <c r="AF11" s="18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</row>
    <row r="12" spans="1:68">
      <c r="A12" t="s">
        <v>35</v>
      </c>
      <c r="B12" t="s">
        <v>126</v>
      </c>
      <c r="C12" t="s">
        <v>124</v>
      </c>
      <c r="D12">
        <f>COUNTIF(Stats!F:F,A12)</f>
        <v>4</v>
      </c>
      <c r="E12">
        <f>COUNTIF(Stats!H:H,A12)</f>
        <v>13</v>
      </c>
      <c r="F12">
        <f>COUNTIFS(Stats!F:F,A12,Stats!E:E,"H")</f>
        <v>2</v>
      </c>
      <c r="G12">
        <f>COUNTIFS(Stats!H:H,A12,Stats!G:G,"H")</f>
        <v>7</v>
      </c>
      <c r="H12">
        <f t="shared" si="0"/>
        <v>2</v>
      </c>
      <c r="I12">
        <f t="shared" si="0"/>
        <v>6</v>
      </c>
      <c r="J12">
        <f>SUMIFS(Stats!I:I,Stats!F:F,A12)+SUMIFS(Stats!J:J,Stats!H:H,A12)</f>
        <v>280</v>
      </c>
      <c r="K12">
        <f t="shared" si="1"/>
        <v>16.470588235294116</v>
      </c>
      <c r="L12">
        <f>SUMIFS(Stats!I:I,Stats!H:H,A12)+SUMIFS(Stats!J:J,Stats!F:F,A12)</f>
        <v>452</v>
      </c>
      <c r="M12">
        <f t="shared" si="2"/>
        <v>26.588235294117649</v>
      </c>
      <c r="N12">
        <f t="shared" si="3"/>
        <v>-172</v>
      </c>
      <c r="O12">
        <f t="shared" si="4"/>
        <v>-10.117647058823529</v>
      </c>
      <c r="P12">
        <f>SUMIFS(Stats!K:K,Stats!F:F,A12)+SUMIFS(Stats!M:M,Stats!H:H,A12)</f>
        <v>4727</v>
      </c>
      <c r="Q12">
        <f>SUMIFS(Stats!K:K,Stats!H:H,A12)+SUMIFS(Stats!M:M,Stats!F:F,A12)</f>
        <v>6535</v>
      </c>
      <c r="R12">
        <f t="shared" si="5"/>
        <v>278.05882352941177</v>
      </c>
      <c r="S12">
        <f t="shared" si="6"/>
        <v>384.41176470588238</v>
      </c>
      <c r="T12">
        <f t="shared" si="7"/>
        <v>-1808</v>
      </c>
      <c r="U12">
        <f>SUMIFS(Stats!I:I,Stats!F:F,A12)</f>
        <v>130</v>
      </c>
      <c r="V12">
        <f t="shared" si="8"/>
        <v>32.5</v>
      </c>
      <c r="W12">
        <f>SUMIFS(Stats!J:J,Stats!F:F,A12)</f>
        <v>79</v>
      </c>
      <c r="X12">
        <f t="shared" si="9"/>
        <v>19.75</v>
      </c>
      <c r="Y12">
        <f t="shared" si="10"/>
        <v>51</v>
      </c>
      <c r="Z12">
        <f t="shared" si="10"/>
        <v>12.75</v>
      </c>
      <c r="AA12">
        <f>SUMIFS(Stats!J:J,Stats!H:H,A12)</f>
        <v>150</v>
      </c>
      <c r="AB12">
        <f t="shared" si="11"/>
        <v>11.538461538461538</v>
      </c>
      <c r="AC12">
        <f>SUMIFS(Stats!I:I,Stats!H:H,A12)</f>
        <v>373</v>
      </c>
      <c r="AD12">
        <f t="shared" si="12"/>
        <v>28.692307692307693</v>
      </c>
      <c r="AE12">
        <f t="shared" si="13"/>
        <v>-223</v>
      </c>
      <c r="AF12">
        <f t="shared" si="13"/>
        <v>-17.153846153846153</v>
      </c>
      <c r="AG12">
        <f>_xlfn.MINIFS(Stats!O:O,Stats!F:F,A12)</f>
        <v>9</v>
      </c>
      <c r="AH12">
        <f>-_xlfn.MINIFS(Stats!O:O,Stats!H:H,A12)</f>
        <v>-3</v>
      </c>
      <c r="AI12">
        <f>_xlfn.MAXIFS(Stats!O:O,Stats!F:F,A12)</f>
        <v>16</v>
      </c>
      <c r="AJ12">
        <f>-_xlfn.MAXIFS(Stats!O:O,Stats!H:H,A12)</f>
        <v>-40</v>
      </c>
      <c r="AK12">
        <f>_xlfn.MAXIFS(Stats!I:I,Stats!F:F,A12)</f>
        <v>41</v>
      </c>
      <c r="AL12">
        <f>IF(_xlfn.MINIFS(Stats!I:I,Stats!F:F,A12)&lt;_xlfn.MINIFS(Stats!J:J,Stats!H:H,A12),_xlfn.MINIFS(Stats!I:I,Stats!F:F,A12),_xlfn.MINIFS(Stats!J:J,Stats!H:H,A12))</f>
        <v>0</v>
      </c>
      <c r="AM12">
        <f>IF(_xlfn.MAXIFS(Stats!K:K,Stats!F:F,A12)&gt;_xlfn.MAXIFS(Stats!M:M,Stats!H:H,A12),_xlfn.MAXIFS(Stats!K:K,Stats!F:F,A12),_xlfn.MAXIFS(Stats!M:M,Stats!H:H,A12))</f>
        <v>449</v>
      </c>
      <c r="AN12">
        <f>IF(_xlfn.MINIFS(Stats!M:M,Stats!H:H,A12)&lt;_xlfn.MINIFS(Stats!K:K,Stats!F:F,A12),_xlfn.MINIFS(Stats!M:M,Stats!H:H,A12),_xlfn.MINIFS(Stats!K:K,Stats!F:F,A12))</f>
        <v>109</v>
      </c>
      <c r="AO12">
        <f>SUMIFS(Stats!K:K,Stats!F:F,A12)/D12</f>
        <v>339.25</v>
      </c>
      <c r="AP12">
        <f>SUMIFS(Stats!M:M,Stats!F:F,A12)/D12</f>
        <v>382</v>
      </c>
      <c r="AQ12">
        <f t="shared" si="14"/>
        <v>-42.75</v>
      </c>
      <c r="AR12">
        <f>SUMIFS(Stats!M:M,Stats!H:H,A12)/E12</f>
        <v>259.23076923076923</v>
      </c>
      <c r="AS12">
        <f>SUMIFS(Stats!K:K,Stats!H:H,A12)/E12</f>
        <v>385.15384615384613</v>
      </c>
      <c r="AT12">
        <f t="shared" si="15"/>
        <v>-125.92307692307691</v>
      </c>
      <c r="AU12">
        <f>(SUMIFS(Stats!I:I,Stats!E:E,"H",Stats!F:F,A12)+SUMIFS(Stats!J:J,Stats!H:H,A12,Stats!G:G,"H"))/(F12+G12)</f>
        <v>20.333333333333332</v>
      </c>
      <c r="AV12">
        <f>(SUMIFS(Stats!K:K,Stats!F:F,A12,Stats!E:E,"H")+SUMIFS(Stats!M:M,Stats!G:G,"H",Stats!H:H,A12))/(F12+G12)</f>
        <v>315.33333333333331</v>
      </c>
      <c r="AW12">
        <f>(SUMIFS(Stats!I:I,Stats!E:E,"V",Stats!F:F,A12)+SUMIFS(Stats!J:J,Stats!H:H,A12,Stats!G:G,"V"))/(H12+I12)</f>
        <v>12.125</v>
      </c>
      <c r="AX12">
        <f>(SUMIFS(Stats!K:K,Stats!F:F,A12,Stats!E:E,"V")+SUMIFS(Stats!M:M,Stats!G:G,"V",Stats!H:H,A12))/(H12+I12)</f>
        <v>236.125</v>
      </c>
    </row>
    <row r="13" spans="1:68">
      <c r="A13" t="s">
        <v>32</v>
      </c>
      <c r="B13" t="s">
        <v>126</v>
      </c>
      <c r="C13" t="s">
        <v>124</v>
      </c>
      <c r="D13">
        <f>COUNTIF(Stats!F:F,A13)</f>
        <v>12</v>
      </c>
      <c r="E13">
        <f>COUNTIF(Stats!H:H,A13)</f>
        <v>6</v>
      </c>
      <c r="F13">
        <f>COUNTIFS(Stats!F:F,A13,Stats!E:E,"H")</f>
        <v>7</v>
      </c>
      <c r="G13">
        <f>COUNTIFS(Stats!H:H,A13,Stats!G:G,"H")</f>
        <v>3</v>
      </c>
      <c r="H13">
        <f t="shared" si="0"/>
        <v>5</v>
      </c>
      <c r="I13">
        <f t="shared" si="0"/>
        <v>3</v>
      </c>
      <c r="J13">
        <f>SUMIFS(Stats!I:I,Stats!F:F,A13)+SUMIFS(Stats!J:J,Stats!H:H,A13)</f>
        <v>435</v>
      </c>
      <c r="K13">
        <f t="shared" si="1"/>
        <v>24.166666666666668</v>
      </c>
      <c r="L13">
        <f>SUMIFS(Stats!I:I,Stats!H:H,A13)+SUMIFS(Stats!J:J,Stats!F:F,A13)</f>
        <v>373</v>
      </c>
      <c r="M13">
        <f t="shared" si="2"/>
        <v>20.722222222222221</v>
      </c>
      <c r="N13">
        <f t="shared" si="3"/>
        <v>62</v>
      </c>
      <c r="O13">
        <f t="shared" si="4"/>
        <v>3.4444444444444446</v>
      </c>
      <c r="P13">
        <f>SUMIFS(Stats!K:K,Stats!F:F,A13)+SUMIFS(Stats!M:M,Stats!H:H,A13)</f>
        <v>6175</v>
      </c>
      <c r="Q13">
        <f>SUMIFS(Stats!K:K,Stats!H:H,A13)+SUMIFS(Stats!M:M,Stats!F:F,A13)</f>
        <v>5952</v>
      </c>
      <c r="R13">
        <f t="shared" si="5"/>
        <v>343.05555555555554</v>
      </c>
      <c r="S13">
        <f t="shared" si="6"/>
        <v>330.66666666666669</v>
      </c>
      <c r="T13">
        <f t="shared" si="7"/>
        <v>223</v>
      </c>
      <c r="U13">
        <f>SUMIFS(Stats!I:I,Stats!F:F,A13)</f>
        <v>343</v>
      </c>
      <c r="V13">
        <f t="shared" si="8"/>
        <v>28.583333333333332</v>
      </c>
      <c r="W13">
        <f>SUMIFS(Stats!J:J,Stats!F:F,A13)</f>
        <v>212</v>
      </c>
      <c r="X13">
        <f t="shared" si="9"/>
        <v>17.666666666666668</v>
      </c>
      <c r="Y13">
        <f t="shared" si="10"/>
        <v>131</v>
      </c>
      <c r="Z13">
        <f t="shared" si="10"/>
        <v>10.916666666666664</v>
      </c>
      <c r="AA13">
        <f>SUMIFS(Stats!J:J,Stats!H:H,A13)</f>
        <v>92</v>
      </c>
      <c r="AB13">
        <f t="shared" si="11"/>
        <v>15.333333333333334</v>
      </c>
      <c r="AC13">
        <f>SUMIFS(Stats!I:I,Stats!H:H,A13)</f>
        <v>161</v>
      </c>
      <c r="AD13">
        <f t="shared" si="12"/>
        <v>26.833333333333332</v>
      </c>
      <c r="AE13">
        <f t="shared" si="13"/>
        <v>-69</v>
      </c>
      <c r="AF13">
        <f t="shared" si="13"/>
        <v>-11.499999999999998</v>
      </c>
      <c r="AG13">
        <f>_xlfn.MINIFS(Stats!O:O,Stats!F:F,A13)</f>
        <v>2</v>
      </c>
      <c r="AH13">
        <f>-_xlfn.MINIFS(Stats!O:O,Stats!H:H,A13)</f>
        <v>-3</v>
      </c>
      <c r="AI13">
        <f>_xlfn.MAXIFS(Stats!O:O,Stats!F:F,A13)</f>
        <v>31</v>
      </c>
      <c r="AJ13">
        <f>-_xlfn.MAXIFS(Stats!O:O,Stats!H:H,A13)</f>
        <v>-25</v>
      </c>
      <c r="AK13">
        <f>_xlfn.MAXIFS(Stats!I:I,Stats!F:F,A13)</f>
        <v>37</v>
      </c>
      <c r="AL13">
        <f>IF(_xlfn.MINIFS(Stats!I:I,Stats!F:F,A13)&lt;_xlfn.MINIFS(Stats!J:J,Stats!H:H,A13),_xlfn.MINIFS(Stats!I:I,Stats!F:F,A13),_xlfn.MINIFS(Stats!J:J,Stats!H:H,A13))</f>
        <v>13</v>
      </c>
      <c r="AM13">
        <f>IF(_xlfn.MAXIFS(Stats!K:K,Stats!F:F,A13)&gt;_xlfn.MAXIFS(Stats!M:M,Stats!H:H,A13),_xlfn.MAXIFS(Stats!K:K,Stats!F:F,A13),_xlfn.MAXIFS(Stats!M:M,Stats!H:H,A13))</f>
        <v>532</v>
      </c>
      <c r="AN13">
        <f>IF(_xlfn.MINIFS(Stats!M:M,Stats!H:H,A13)&lt;_xlfn.MINIFS(Stats!K:K,Stats!F:F,A13),_xlfn.MINIFS(Stats!M:M,Stats!H:H,A13),_xlfn.MINIFS(Stats!K:K,Stats!F:F,A13))</f>
        <v>194</v>
      </c>
      <c r="AO13">
        <f>SUMIFS(Stats!K:K,Stats!F:F,A13)/D13</f>
        <v>337.58333333333331</v>
      </c>
      <c r="AP13">
        <f>SUMIFS(Stats!M:M,Stats!F:F,A13)/D13</f>
        <v>340.33333333333331</v>
      </c>
      <c r="AQ13">
        <f t="shared" si="14"/>
        <v>-2.75</v>
      </c>
      <c r="AR13">
        <f>SUMIFS(Stats!M:M,Stats!H:H,A13)/E13</f>
        <v>354</v>
      </c>
      <c r="AS13">
        <f>SUMIFS(Stats!K:K,Stats!H:H,A13)/E13</f>
        <v>311.33333333333331</v>
      </c>
      <c r="AT13">
        <f t="shared" si="15"/>
        <v>42.666666666666686</v>
      </c>
      <c r="AU13">
        <f>(SUMIFS(Stats!I:I,Stats!E:E,"H",Stats!F:F,A13)+SUMIFS(Stats!J:J,Stats!H:H,A13,Stats!G:G,"H"))/(F13+G13)</f>
        <v>22.5</v>
      </c>
      <c r="AV13">
        <f>(SUMIFS(Stats!K:K,Stats!F:F,A13,Stats!E:E,"H")+SUMIFS(Stats!M:M,Stats!G:G,"H",Stats!H:H,A13))/(F13+G13)</f>
        <v>323.3</v>
      </c>
      <c r="AW13">
        <f>(SUMIFS(Stats!I:I,Stats!E:E,"V",Stats!F:F,A13)+SUMIFS(Stats!J:J,Stats!H:H,A13,Stats!G:G,"V"))/(H13+I13)</f>
        <v>26.25</v>
      </c>
      <c r="AX13">
        <f>(SUMIFS(Stats!K:K,Stats!F:F,A13,Stats!E:E,"V")+SUMIFS(Stats!M:M,Stats!G:G,"V",Stats!H:H,A13))/(H13+I13)</f>
        <v>367.75</v>
      </c>
    </row>
    <row r="14" spans="1:68">
      <c r="A14" t="s">
        <v>30</v>
      </c>
      <c r="B14" t="s">
        <v>126</v>
      </c>
      <c r="C14" t="s">
        <v>124</v>
      </c>
      <c r="D14">
        <f>COUNTIF(Stats!F:F,A14)</f>
        <v>9</v>
      </c>
      <c r="E14">
        <f>COUNTIF(Stats!H:H,A14)</f>
        <v>8</v>
      </c>
      <c r="F14">
        <f>COUNTIFS(Stats!F:F,A14,Stats!E:E,"H")</f>
        <v>4</v>
      </c>
      <c r="G14">
        <f>COUNTIFS(Stats!H:H,A14,Stats!G:G,"H")</f>
        <v>5</v>
      </c>
      <c r="H14">
        <f t="shared" si="0"/>
        <v>5</v>
      </c>
      <c r="I14">
        <f t="shared" si="0"/>
        <v>3</v>
      </c>
      <c r="J14">
        <f>SUMIFS(Stats!I:I,Stats!F:F,A14)+SUMIFS(Stats!J:J,Stats!H:H,A14)</f>
        <v>451</v>
      </c>
      <c r="K14">
        <f t="shared" si="1"/>
        <v>26.529411764705884</v>
      </c>
      <c r="L14">
        <f>SUMIFS(Stats!I:I,Stats!H:H,A14)+SUMIFS(Stats!J:J,Stats!F:F,A14)</f>
        <v>365</v>
      </c>
      <c r="M14">
        <f t="shared" si="2"/>
        <v>21.470588235294116</v>
      </c>
      <c r="N14">
        <f t="shared" si="3"/>
        <v>86</v>
      </c>
      <c r="O14">
        <f t="shared" si="4"/>
        <v>5.0588235294117645</v>
      </c>
      <c r="P14">
        <f>SUMIFS(Stats!K:K,Stats!F:F,A14)+SUMIFS(Stats!M:M,Stats!H:H,A14)</f>
        <v>5901</v>
      </c>
      <c r="Q14">
        <f>SUMIFS(Stats!K:K,Stats!H:H,A14)+SUMIFS(Stats!M:M,Stats!F:F,A14)</f>
        <v>5834</v>
      </c>
      <c r="R14">
        <f t="shared" si="5"/>
        <v>347.11764705882354</v>
      </c>
      <c r="S14">
        <f t="shared" si="6"/>
        <v>343.1764705882353</v>
      </c>
      <c r="T14">
        <f t="shared" si="7"/>
        <v>67</v>
      </c>
      <c r="U14">
        <f>SUMIFS(Stats!I:I,Stats!F:F,A14)</f>
        <v>277</v>
      </c>
      <c r="V14">
        <f t="shared" si="8"/>
        <v>30.777777777777779</v>
      </c>
      <c r="W14">
        <f>SUMIFS(Stats!J:J,Stats!F:F,A14)</f>
        <v>133</v>
      </c>
      <c r="X14">
        <f t="shared" si="9"/>
        <v>14.777777777777779</v>
      </c>
      <c r="Y14">
        <f t="shared" si="10"/>
        <v>144</v>
      </c>
      <c r="Z14">
        <f t="shared" si="10"/>
        <v>16</v>
      </c>
      <c r="AA14">
        <f>SUMIFS(Stats!J:J,Stats!H:H,A14)</f>
        <v>174</v>
      </c>
      <c r="AB14">
        <f t="shared" si="11"/>
        <v>21.75</v>
      </c>
      <c r="AC14">
        <f>SUMIFS(Stats!I:I,Stats!H:H,A14)</f>
        <v>232</v>
      </c>
      <c r="AD14">
        <f t="shared" si="12"/>
        <v>29</v>
      </c>
      <c r="AE14">
        <f t="shared" si="13"/>
        <v>-58</v>
      </c>
      <c r="AF14">
        <f t="shared" si="13"/>
        <v>-7.25</v>
      </c>
      <c r="AG14">
        <f>_xlfn.MINIFS(Stats!O:O,Stats!F:F,A14)</f>
        <v>6</v>
      </c>
      <c r="AH14">
        <f>-_xlfn.MINIFS(Stats!O:O,Stats!H:H,A14)</f>
        <v>-3</v>
      </c>
      <c r="AI14">
        <f>_xlfn.MAXIFS(Stats!O:O,Stats!F:F,A14)</f>
        <v>31</v>
      </c>
      <c r="AJ14">
        <f>-_xlfn.MAXIFS(Stats!O:O,Stats!H:H,A14)</f>
        <v>-15</v>
      </c>
      <c r="AK14">
        <f>_xlfn.MAXIFS(Stats!I:I,Stats!F:F,A14)</f>
        <v>45</v>
      </c>
      <c r="AL14">
        <f>IF(_xlfn.MINIFS(Stats!I:I,Stats!F:F,A14)&lt;_xlfn.MINIFS(Stats!J:J,Stats!H:H,A14),_xlfn.MINIFS(Stats!I:I,Stats!F:F,A14),_xlfn.MINIFS(Stats!J:J,Stats!H:H,A14))</f>
        <v>11</v>
      </c>
      <c r="AM14">
        <f>IF(_xlfn.MAXIFS(Stats!K:K,Stats!F:F,A14)&gt;_xlfn.MAXIFS(Stats!M:M,Stats!H:H,A14),_xlfn.MAXIFS(Stats!K:K,Stats!F:F,A14),_xlfn.MAXIFS(Stats!M:M,Stats!H:H,A14))</f>
        <v>532</v>
      </c>
      <c r="AN14">
        <f>IF(_xlfn.MINIFS(Stats!M:M,Stats!H:H,A14)&lt;_xlfn.MINIFS(Stats!K:K,Stats!F:F,A14),_xlfn.MINIFS(Stats!M:M,Stats!H:H,A14),_xlfn.MINIFS(Stats!K:K,Stats!F:F,A14))</f>
        <v>233</v>
      </c>
      <c r="AO14">
        <f>SUMIFS(Stats!K:K,Stats!F:F,A14)/D14</f>
        <v>359.88888888888891</v>
      </c>
      <c r="AP14">
        <f>SUMIFS(Stats!M:M,Stats!F:F,A14)/D14</f>
        <v>316.44444444444446</v>
      </c>
      <c r="AQ14">
        <f t="shared" si="14"/>
        <v>43.444444444444457</v>
      </c>
      <c r="AR14">
        <f>SUMIFS(Stats!M:M,Stats!H:H,A14)/E14</f>
        <v>332.75</v>
      </c>
      <c r="AS14">
        <f>SUMIFS(Stats!K:K,Stats!H:H,A14)/E14</f>
        <v>373.25</v>
      </c>
      <c r="AT14">
        <f t="shared" si="15"/>
        <v>-40.5</v>
      </c>
      <c r="AU14">
        <f>(SUMIFS(Stats!I:I,Stats!E:E,"H",Stats!F:F,A14)+SUMIFS(Stats!J:J,Stats!H:H,A14,Stats!G:G,"H"))/(F14+G14)</f>
        <v>27.555555555555557</v>
      </c>
      <c r="AV14">
        <f>(SUMIFS(Stats!K:K,Stats!F:F,A14,Stats!E:E,"H")+SUMIFS(Stats!M:M,Stats!G:G,"H",Stats!H:H,A14))/(F14+G14)</f>
        <v>349</v>
      </c>
      <c r="AW14">
        <f>(SUMIFS(Stats!I:I,Stats!E:E,"V",Stats!F:F,A14)+SUMIFS(Stats!J:J,Stats!H:H,A14,Stats!G:G,"V"))/(H14+I14)</f>
        <v>25.375</v>
      </c>
      <c r="AX14">
        <f>(SUMIFS(Stats!K:K,Stats!F:F,A14,Stats!E:E,"V")+SUMIFS(Stats!M:M,Stats!G:G,"V",Stats!H:H,A14))/(H14+I14)</f>
        <v>345</v>
      </c>
    </row>
    <row r="15" spans="1:68">
      <c r="A15" t="s">
        <v>36</v>
      </c>
      <c r="B15" t="s">
        <v>126</v>
      </c>
      <c r="C15" t="s">
        <v>124</v>
      </c>
      <c r="D15">
        <f>COUNTIF(Stats!F:F,A15)</f>
        <v>3</v>
      </c>
      <c r="E15">
        <f>COUNTIF(Stats!H:H,A15)</f>
        <v>14</v>
      </c>
      <c r="F15">
        <f>COUNTIFS(Stats!F:F,A15,Stats!E:E,"H")</f>
        <v>3</v>
      </c>
      <c r="G15">
        <f>COUNTIFS(Stats!H:H,A15,Stats!G:G,"H")</f>
        <v>6</v>
      </c>
      <c r="H15">
        <f t="shared" si="0"/>
        <v>0</v>
      </c>
      <c r="I15">
        <f t="shared" si="0"/>
        <v>8</v>
      </c>
      <c r="J15">
        <f>SUMIFS(Stats!I:I,Stats!F:F,A15)+SUMIFS(Stats!J:J,Stats!H:H,A15)</f>
        <v>253</v>
      </c>
      <c r="K15">
        <f t="shared" si="1"/>
        <v>14.882352941176471</v>
      </c>
      <c r="L15">
        <f>SUMIFS(Stats!I:I,Stats!H:H,A15)+SUMIFS(Stats!J:J,Stats!F:F,A15)</f>
        <v>457</v>
      </c>
      <c r="M15">
        <f t="shared" si="2"/>
        <v>26.882352941176471</v>
      </c>
      <c r="N15">
        <f t="shared" si="3"/>
        <v>-204</v>
      </c>
      <c r="O15">
        <f t="shared" si="4"/>
        <v>-12</v>
      </c>
      <c r="P15">
        <f>SUMIFS(Stats!K:K,Stats!F:F,A15)+SUMIFS(Stats!M:M,Stats!H:H,A15)</f>
        <v>5191</v>
      </c>
      <c r="Q15">
        <f>SUMIFS(Stats!K:K,Stats!H:H,A15)+SUMIFS(Stats!M:M,Stats!F:F,A15)</f>
        <v>6002</v>
      </c>
      <c r="R15">
        <f t="shared" si="5"/>
        <v>305.35294117647061</v>
      </c>
      <c r="S15">
        <f t="shared" si="6"/>
        <v>353.05882352941177</v>
      </c>
      <c r="T15">
        <f t="shared" si="7"/>
        <v>-811</v>
      </c>
      <c r="U15">
        <f>SUMIFS(Stats!I:I,Stats!F:F,A15)</f>
        <v>58</v>
      </c>
      <c r="V15">
        <f t="shared" si="8"/>
        <v>19.333333333333332</v>
      </c>
      <c r="W15">
        <f>SUMIFS(Stats!J:J,Stats!F:F,A15)</f>
        <v>37</v>
      </c>
      <c r="X15">
        <f t="shared" si="9"/>
        <v>12.333333333333334</v>
      </c>
      <c r="Y15">
        <f t="shared" si="10"/>
        <v>21</v>
      </c>
      <c r="Z15">
        <f t="shared" si="10"/>
        <v>6.9999999999999982</v>
      </c>
      <c r="AA15">
        <f>SUMIFS(Stats!J:J,Stats!H:H,A15)</f>
        <v>195</v>
      </c>
      <c r="AB15">
        <f t="shared" si="11"/>
        <v>13.928571428571429</v>
      </c>
      <c r="AC15">
        <f>SUMIFS(Stats!I:I,Stats!H:H,A15)</f>
        <v>420</v>
      </c>
      <c r="AD15">
        <f t="shared" si="12"/>
        <v>30</v>
      </c>
      <c r="AE15">
        <f t="shared" si="13"/>
        <v>-225</v>
      </c>
      <c r="AF15">
        <f t="shared" si="13"/>
        <v>-16.071428571428569</v>
      </c>
      <c r="AG15">
        <f>_xlfn.MINIFS(Stats!O:O,Stats!F:F,A15)</f>
        <v>3</v>
      </c>
      <c r="AH15">
        <f>-_xlfn.MINIFS(Stats!O:O,Stats!H:H,A15)</f>
        <v>-3</v>
      </c>
      <c r="AI15">
        <f>_xlfn.MAXIFS(Stats!O:O,Stats!F:F,A15)</f>
        <v>15</v>
      </c>
      <c r="AJ15">
        <f>-_xlfn.MAXIFS(Stats!O:O,Stats!H:H,A15)</f>
        <v>-40</v>
      </c>
      <c r="AK15">
        <f>_xlfn.MAXIFS(Stats!I:I,Stats!F:F,A15)</f>
        <v>26</v>
      </c>
      <c r="AL15">
        <f>IF(_xlfn.MINIFS(Stats!I:I,Stats!F:F,A15)&lt;_xlfn.MINIFS(Stats!J:J,Stats!H:H,A15),_xlfn.MINIFS(Stats!I:I,Stats!F:F,A15),_xlfn.MINIFS(Stats!J:J,Stats!H:H,A15))</f>
        <v>0</v>
      </c>
      <c r="AM15">
        <f>IF(_xlfn.MAXIFS(Stats!K:K,Stats!F:F,A15)&gt;_xlfn.MAXIFS(Stats!M:M,Stats!H:H,A15),_xlfn.MAXIFS(Stats!K:K,Stats!F:F,A15),_xlfn.MAXIFS(Stats!M:M,Stats!H:H,A15))</f>
        <v>454</v>
      </c>
      <c r="AN15">
        <f>IF(_xlfn.MINIFS(Stats!M:M,Stats!H:H,A15)&lt;_xlfn.MINIFS(Stats!K:K,Stats!F:F,A15),_xlfn.MINIFS(Stats!M:M,Stats!H:H,A15),_xlfn.MINIFS(Stats!K:K,Stats!F:F,A15))</f>
        <v>189</v>
      </c>
      <c r="AO15">
        <f>SUMIFS(Stats!K:K,Stats!F:F,A15)/D15</f>
        <v>310.66666666666669</v>
      </c>
      <c r="AP15">
        <f>SUMIFS(Stats!M:M,Stats!F:F,A15)/D15</f>
        <v>321.66666666666669</v>
      </c>
      <c r="AQ15">
        <f t="shared" si="14"/>
        <v>-11</v>
      </c>
      <c r="AR15">
        <f>SUMIFS(Stats!M:M,Stats!H:H,A15)/E15</f>
        <v>304.21428571428572</v>
      </c>
      <c r="AS15">
        <f>SUMIFS(Stats!K:K,Stats!H:H,A15)/E15</f>
        <v>359.78571428571428</v>
      </c>
      <c r="AT15">
        <f t="shared" si="15"/>
        <v>-55.571428571428555</v>
      </c>
      <c r="AU15">
        <f>(SUMIFS(Stats!I:I,Stats!E:E,"H",Stats!F:F,A15)+SUMIFS(Stats!J:J,Stats!H:H,A15,Stats!G:G,"H"))/(F15+G15)</f>
        <v>16.555555555555557</v>
      </c>
      <c r="AV15">
        <f>(SUMIFS(Stats!K:K,Stats!F:F,A15,Stats!E:E,"H")+SUMIFS(Stats!M:M,Stats!G:G,"H",Stats!H:H,A15))/(F15+G15)</f>
        <v>309.88888888888891</v>
      </c>
      <c r="AW15">
        <f>(SUMIFS(Stats!I:I,Stats!E:E,"V",Stats!F:F,A15)+SUMIFS(Stats!J:J,Stats!H:H,A15,Stats!G:G,"V"))/(H15+I15)</f>
        <v>13</v>
      </c>
      <c r="AX15">
        <f>(SUMIFS(Stats!K:K,Stats!F:F,A15,Stats!E:E,"V")+SUMIFS(Stats!M:M,Stats!G:G,"V",Stats!H:H,A15))/(H15+I15)</f>
        <v>300.25</v>
      </c>
    </row>
    <row r="16" spans="1:68">
      <c r="N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8"/>
      <c r="AC16" s="15"/>
      <c r="AD16" s="18"/>
      <c r="AE16" s="15"/>
      <c r="AF16" s="18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</row>
    <row r="17" spans="1:50">
      <c r="A17" t="s">
        <v>37</v>
      </c>
      <c r="B17" t="s">
        <v>126</v>
      </c>
      <c r="C17" t="s">
        <v>128</v>
      </c>
      <c r="D17">
        <f>COUNTIF(Stats!F:F,A17)</f>
        <v>9</v>
      </c>
      <c r="E17">
        <f>COUNTIF(Stats!H:H,A17)</f>
        <v>8</v>
      </c>
      <c r="F17">
        <f>COUNTIFS(Stats!F:F,A17,Stats!E:E,"H")</f>
        <v>5</v>
      </c>
      <c r="G17">
        <f>COUNTIFS(Stats!H:H,A17,Stats!G:G,"H")</f>
        <v>4</v>
      </c>
      <c r="H17">
        <f t="shared" si="0"/>
        <v>4</v>
      </c>
      <c r="I17">
        <f t="shared" si="0"/>
        <v>4</v>
      </c>
      <c r="J17">
        <f>SUMIFS(Stats!I:I,Stats!F:F,A17)+SUMIFS(Stats!J:J,Stats!H:H,A17)</f>
        <v>474</v>
      </c>
      <c r="K17">
        <f t="shared" si="1"/>
        <v>27.882352941176471</v>
      </c>
      <c r="L17">
        <f>SUMIFS(Stats!I:I,Stats!H:H,A17)+SUMIFS(Stats!J:J,Stats!F:F,A17)</f>
        <v>459</v>
      </c>
      <c r="M17">
        <f t="shared" si="2"/>
        <v>27</v>
      </c>
      <c r="N17">
        <f t="shared" si="3"/>
        <v>15</v>
      </c>
      <c r="O17">
        <f t="shared" si="4"/>
        <v>0.88235294117647056</v>
      </c>
      <c r="P17">
        <f>SUMIFS(Stats!K:K,Stats!F:F,A17)+SUMIFS(Stats!M:M,Stats!H:H,A17)</f>
        <v>6634</v>
      </c>
      <c r="Q17">
        <f>SUMIFS(Stats!K:K,Stats!H:H,A17)+SUMIFS(Stats!M:M,Stats!F:F,A17)</f>
        <v>6122</v>
      </c>
      <c r="R17">
        <f t="shared" si="5"/>
        <v>390.23529411764707</v>
      </c>
      <c r="S17">
        <f t="shared" si="6"/>
        <v>360.11764705882354</v>
      </c>
      <c r="T17">
        <f t="shared" si="7"/>
        <v>512</v>
      </c>
      <c r="U17">
        <f>SUMIFS(Stats!I:I,Stats!F:F,A17)</f>
        <v>305</v>
      </c>
      <c r="V17">
        <f t="shared" si="8"/>
        <v>33.888888888888886</v>
      </c>
      <c r="W17">
        <f>SUMIFS(Stats!J:J,Stats!F:F,A17)</f>
        <v>213</v>
      </c>
      <c r="X17">
        <f t="shared" si="9"/>
        <v>23.666666666666668</v>
      </c>
      <c r="Y17">
        <f t="shared" si="10"/>
        <v>92</v>
      </c>
      <c r="Z17">
        <f t="shared" si="10"/>
        <v>10.222222222222218</v>
      </c>
      <c r="AA17">
        <f>SUMIFS(Stats!J:J,Stats!H:H,A17)</f>
        <v>169</v>
      </c>
      <c r="AB17">
        <f t="shared" si="11"/>
        <v>21.125</v>
      </c>
      <c r="AC17">
        <f>SUMIFS(Stats!I:I,Stats!H:H,A17)</f>
        <v>246</v>
      </c>
      <c r="AD17">
        <f t="shared" si="12"/>
        <v>30.75</v>
      </c>
      <c r="AE17">
        <f t="shared" si="13"/>
        <v>-77</v>
      </c>
      <c r="AF17">
        <f t="shared" si="13"/>
        <v>-9.625</v>
      </c>
      <c r="AG17">
        <f>_xlfn.MINIFS(Stats!O:O,Stats!F:F,A17)</f>
        <v>3</v>
      </c>
      <c r="AH17">
        <f>-_xlfn.MINIFS(Stats!O:O,Stats!H:H,A17)</f>
        <v>-3</v>
      </c>
      <c r="AI17">
        <f>_xlfn.MAXIFS(Stats!O:O,Stats!F:F,A17)</f>
        <v>21</v>
      </c>
      <c r="AJ17">
        <f>-_xlfn.MAXIFS(Stats!O:O,Stats!H:H,A17)</f>
        <v>-28</v>
      </c>
      <c r="AK17">
        <f>_xlfn.MAXIFS(Stats!I:I,Stats!F:F,A17)</f>
        <v>47</v>
      </c>
      <c r="AL17">
        <f>IF(_xlfn.MINIFS(Stats!I:I,Stats!F:F,A17)&lt;_xlfn.MINIFS(Stats!J:J,Stats!H:H,A17),_xlfn.MINIFS(Stats!I:I,Stats!F:F,A17),_xlfn.MINIFS(Stats!J:J,Stats!H:H,A17))</f>
        <v>6</v>
      </c>
      <c r="AM17">
        <f>IF(_xlfn.MAXIFS(Stats!K:K,Stats!F:F,A17)&gt;_xlfn.MAXIFS(Stats!M:M,Stats!H:H,A17),_xlfn.MAXIFS(Stats!K:K,Stats!F:F,A17),_xlfn.MAXIFS(Stats!M:M,Stats!H:H,A17))</f>
        <v>533</v>
      </c>
      <c r="AN17">
        <f>IF(_xlfn.MINIFS(Stats!M:M,Stats!H:H,A17)&lt;_xlfn.MINIFS(Stats!K:K,Stats!F:F,A17),_xlfn.MINIFS(Stats!M:M,Stats!H:H,A17),_xlfn.MINIFS(Stats!K:K,Stats!F:F,A17))</f>
        <v>208</v>
      </c>
      <c r="AO17">
        <f>SUMIFS(Stats!K:K,Stats!F:F,A17)/D17</f>
        <v>417.11111111111109</v>
      </c>
      <c r="AP17">
        <f>SUMIFS(Stats!M:M,Stats!F:F,A17)/D17</f>
        <v>340.22222222222223</v>
      </c>
      <c r="AQ17">
        <f t="shared" si="14"/>
        <v>76.888888888888857</v>
      </c>
      <c r="AR17">
        <f>SUMIFS(Stats!M:M,Stats!H:H,A17)/E17</f>
        <v>360</v>
      </c>
      <c r="AS17">
        <f>SUMIFS(Stats!K:K,Stats!H:H,A17)/E17</f>
        <v>382.5</v>
      </c>
      <c r="AT17">
        <f t="shared" si="15"/>
        <v>-22.5</v>
      </c>
      <c r="AU17">
        <f>(SUMIFS(Stats!I:I,Stats!E:E,"H",Stats!F:F,A17)+SUMIFS(Stats!J:J,Stats!H:H,A17,Stats!G:G,"H"))/(F17+G17)</f>
        <v>30.666666666666668</v>
      </c>
      <c r="AV17">
        <f>(SUMIFS(Stats!K:K,Stats!F:F,A17,Stats!E:E,"H")+SUMIFS(Stats!M:M,Stats!G:G,"H",Stats!H:H,A17))/(F17+G17)</f>
        <v>403.11111111111109</v>
      </c>
      <c r="AW17">
        <f>(SUMIFS(Stats!I:I,Stats!E:E,"V",Stats!F:F,A17)+SUMIFS(Stats!J:J,Stats!H:H,A17,Stats!G:G,"V"))/(H17+I17)</f>
        <v>24.75</v>
      </c>
      <c r="AX17">
        <f>(SUMIFS(Stats!K:K,Stats!F:F,A17,Stats!E:E,"V")+SUMIFS(Stats!M:M,Stats!G:G,"V",Stats!H:H,A17))/(H17+I17)</f>
        <v>375.75</v>
      </c>
    </row>
    <row r="18" spans="1:50">
      <c r="A18" t="s">
        <v>40</v>
      </c>
      <c r="B18" t="s">
        <v>126</v>
      </c>
      <c r="C18" t="s">
        <v>128</v>
      </c>
      <c r="D18">
        <f>COUNTIF(Stats!F:F,A18)</f>
        <v>14</v>
      </c>
      <c r="E18">
        <f>COUNTIF(Stats!H:H,A18)</f>
        <v>6</v>
      </c>
      <c r="F18">
        <f>COUNTIFS(Stats!F:F,A18,Stats!E:E,"H")</f>
        <v>9</v>
      </c>
      <c r="G18">
        <f>COUNTIFS(Stats!H:H,A18,Stats!G:G,"H")</f>
        <v>3</v>
      </c>
      <c r="H18">
        <f t="shared" si="0"/>
        <v>5</v>
      </c>
      <c r="I18">
        <f t="shared" si="0"/>
        <v>3</v>
      </c>
      <c r="J18">
        <f>SUMIFS(Stats!I:I,Stats!F:F,A18)+SUMIFS(Stats!J:J,Stats!H:H,A18)</f>
        <v>588</v>
      </c>
      <c r="K18">
        <f t="shared" si="1"/>
        <v>29.4</v>
      </c>
      <c r="L18">
        <f>SUMIFS(Stats!I:I,Stats!H:H,A18)+SUMIFS(Stats!J:J,Stats!F:F,A18)</f>
        <v>448</v>
      </c>
      <c r="M18">
        <f t="shared" si="2"/>
        <v>22.4</v>
      </c>
      <c r="N18">
        <f t="shared" si="3"/>
        <v>140</v>
      </c>
      <c r="O18">
        <f t="shared" si="4"/>
        <v>7</v>
      </c>
      <c r="P18">
        <f>SUMIFS(Stats!K:K,Stats!F:F,A18)+SUMIFS(Stats!M:M,Stats!H:H,A18)</f>
        <v>8151</v>
      </c>
      <c r="Q18">
        <f>SUMIFS(Stats!K:K,Stats!H:H,A18)+SUMIFS(Stats!M:M,Stats!F:F,A18)</f>
        <v>7310</v>
      </c>
      <c r="R18">
        <f t="shared" si="5"/>
        <v>407.55</v>
      </c>
      <c r="S18">
        <f t="shared" si="6"/>
        <v>365.5</v>
      </c>
      <c r="T18">
        <f t="shared" si="7"/>
        <v>841</v>
      </c>
      <c r="U18">
        <f>SUMIFS(Stats!I:I,Stats!F:F,A18)</f>
        <v>451</v>
      </c>
      <c r="V18">
        <f t="shared" si="8"/>
        <v>32.214285714285715</v>
      </c>
      <c r="W18">
        <f>SUMIFS(Stats!J:J,Stats!F:F,A18)</f>
        <v>256</v>
      </c>
      <c r="X18">
        <f t="shared" si="9"/>
        <v>18.285714285714285</v>
      </c>
      <c r="Y18">
        <f t="shared" si="10"/>
        <v>195</v>
      </c>
      <c r="Z18">
        <f t="shared" si="10"/>
        <v>13.928571428571431</v>
      </c>
      <c r="AA18">
        <f>SUMIFS(Stats!J:J,Stats!H:H,A18)</f>
        <v>137</v>
      </c>
      <c r="AB18">
        <f t="shared" si="11"/>
        <v>22.833333333333332</v>
      </c>
      <c r="AC18">
        <f>SUMIFS(Stats!I:I,Stats!H:H,A18)</f>
        <v>192</v>
      </c>
      <c r="AD18">
        <f t="shared" si="12"/>
        <v>32</v>
      </c>
      <c r="AE18">
        <f t="shared" si="13"/>
        <v>-55</v>
      </c>
      <c r="AF18">
        <f t="shared" si="13"/>
        <v>-9.1666666666666679</v>
      </c>
      <c r="AG18">
        <f>_xlfn.MINIFS(Stats!O:O,Stats!F:F,A18)</f>
        <v>3</v>
      </c>
      <c r="AH18">
        <f>-_xlfn.MINIFS(Stats!O:O,Stats!H:H,A18)</f>
        <v>-1</v>
      </c>
      <c r="AI18">
        <f>_xlfn.MAXIFS(Stats!O:O,Stats!F:F,A18)</f>
        <v>39</v>
      </c>
      <c r="AJ18">
        <f>-_xlfn.MAXIFS(Stats!O:O,Stats!H:H,A18)</f>
        <v>-24</v>
      </c>
      <c r="AK18">
        <f>_xlfn.MAXIFS(Stats!I:I,Stats!F:F,A18)</f>
        <v>48</v>
      </c>
      <c r="AL18">
        <f>IF(_xlfn.MINIFS(Stats!I:I,Stats!F:F,A18)&lt;_xlfn.MINIFS(Stats!J:J,Stats!H:H,A18),_xlfn.MINIFS(Stats!I:I,Stats!F:F,A18),_xlfn.MINIFS(Stats!J:J,Stats!H:H,A18))</f>
        <v>3</v>
      </c>
      <c r="AM18">
        <f>IF(_xlfn.MAXIFS(Stats!K:K,Stats!F:F,A18)&gt;_xlfn.MAXIFS(Stats!M:M,Stats!H:H,A18),_xlfn.MAXIFS(Stats!K:K,Stats!F:F,A18),_xlfn.MAXIFS(Stats!M:M,Stats!H:H,A18))</f>
        <v>552</v>
      </c>
      <c r="AN18">
        <f>IF(_xlfn.MINIFS(Stats!M:M,Stats!H:H,A18)&lt;_xlfn.MINIFS(Stats!K:K,Stats!F:F,A18),_xlfn.MINIFS(Stats!M:M,Stats!H:H,A18),_xlfn.MINIFS(Stats!K:K,Stats!F:F,A18))</f>
        <v>237</v>
      </c>
      <c r="AO18">
        <f>SUMIFS(Stats!K:K,Stats!F:F,A18)/D18</f>
        <v>413.85714285714283</v>
      </c>
      <c r="AP18">
        <f>SUMIFS(Stats!M:M,Stats!F:F,A18)/D18</f>
        <v>345.57142857142856</v>
      </c>
      <c r="AQ18">
        <f t="shared" si="14"/>
        <v>68.285714285714278</v>
      </c>
      <c r="AR18">
        <f>SUMIFS(Stats!M:M,Stats!H:H,A18)/E18</f>
        <v>392.83333333333331</v>
      </c>
      <c r="AS18">
        <f>SUMIFS(Stats!K:K,Stats!H:H,A18)/E18</f>
        <v>412</v>
      </c>
      <c r="AT18">
        <f t="shared" si="15"/>
        <v>-19.166666666666686</v>
      </c>
      <c r="AU18">
        <f>(SUMIFS(Stats!I:I,Stats!E:E,"H",Stats!F:F,A18)+SUMIFS(Stats!J:J,Stats!H:H,A18,Stats!G:G,"H"))/(F18+G18)</f>
        <v>28.583333333333332</v>
      </c>
      <c r="AV18">
        <f>(SUMIFS(Stats!K:K,Stats!F:F,A18,Stats!E:E,"H")+SUMIFS(Stats!M:M,Stats!G:G,"H",Stats!H:H,A18))/(F18+G18)</f>
        <v>385.5</v>
      </c>
      <c r="AW18">
        <f>(SUMIFS(Stats!I:I,Stats!E:E,"V",Stats!F:F,A18)+SUMIFS(Stats!J:J,Stats!H:H,A18,Stats!G:G,"V"))/(H18+I18)</f>
        <v>30.625</v>
      </c>
      <c r="AX18">
        <f>(SUMIFS(Stats!K:K,Stats!F:F,A18,Stats!E:E,"V")+SUMIFS(Stats!M:M,Stats!G:G,"V",Stats!H:H,A18))/(H18+I18)</f>
        <v>440.625</v>
      </c>
    </row>
    <row r="19" spans="1:50">
      <c r="A19" t="s">
        <v>42</v>
      </c>
      <c r="B19" t="s">
        <v>126</v>
      </c>
      <c r="C19" t="s">
        <v>128</v>
      </c>
      <c r="D19">
        <f>COUNTIF(Stats!F:F,A19)</f>
        <v>7</v>
      </c>
      <c r="E19">
        <f>COUNTIF(Stats!H:H,A19)</f>
        <v>10</v>
      </c>
      <c r="F19">
        <f>COUNTIFS(Stats!F:F,A19,Stats!E:E,"H")</f>
        <v>4</v>
      </c>
      <c r="G19">
        <f>COUNTIFS(Stats!H:H,A19,Stats!G:G,"H")</f>
        <v>5</v>
      </c>
      <c r="H19">
        <f t="shared" si="0"/>
        <v>3</v>
      </c>
      <c r="I19">
        <f t="shared" si="0"/>
        <v>5</v>
      </c>
      <c r="J19">
        <f>SUMIFS(Stats!I:I,Stats!F:F,A19)+SUMIFS(Stats!J:J,Stats!H:H,A19)</f>
        <v>335</v>
      </c>
      <c r="K19">
        <f t="shared" si="1"/>
        <v>19.705882352941178</v>
      </c>
      <c r="L19">
        <f>SUMIFS(Stats!I:I,Stats!H:H,A19)+SUMIFS(Stats!J:J,Stats!F:F,A19)</f>
        <v>322</v>
      </c>
      <c r="M19">
        <f t="shared" si="2"/>
        <v>18.941176470588236</v>
      </c>
      <c r="N19">
        <f t="shared" si="3"/>
        <v>13</v>
      </c>
      <c r="O19">
        <f t="shared" si="4"/>
        <v>0.76470588235294112</v>
      </c>
      <c r="P19">
        <f>SUMIFS(Stats!K:K,Stats!F:F,A19)+SUMIFS(Stats!M:M,Stats!H:H,A19)</f>
        <v>5618</v>
      </c>
      <c r="Q19">
        <f>SUMIFS(Stats!K:K,Stats!H:H,A19)+SUMIFS(Stats!M:M,Stats!F:F,A19)</f>
        <v>5544</v>
      </c>
      <c r="R19">
        <f t="shared" si="5"/>
        <v>330.47058823529414</v>
      </c>
      <c r="S19">
        <f t="shared" si="6"/>
        <v>326.11764705882354</v>
      </c>
      <c r="T19">
        <f t="shared" si="7"/>
        <v>74</v>
      </c>
      <c r="U19">
        <f>SUMIFS(Stats!I:I,Stats!F:F,A19)</f>
        <v>189</v>
      </c>
      <c r="V19">
        <f t="shared" si="8"/>
        <v>27</v>
      </c>
      <c r="W19">
        <f>SUMIFS(Stats!J:J,Stats!F:F,A19)</f>
        <v>75</v>
      </c>
      <c r="X19">
        <f t="shared" si="9"/>
        <v>10.714285714285714</v>
      </c>
      <c r="Y19">
        <f t="shared" si="10"/>
        <v>114</v>
      </c>
      <c r="Z19">
        <f t="shared" si="10"/>
        <v>16.285714285714285</v>
      </c>
      <c r="AA19">
        <f>SUMIFS(Stats!J:J,Stats!H:H,A19)</f>
        <v>146</v>
      </c>
      <c r="AB19">
        <f t="shared" si="11"/>
        <v>14.6</v>
      </c>
      <c r="AC19">
        <f>SUMIFS(Stats!I:I,Stats!H:H,A19)</f>
        <v>247</v>
      </c>
      <c r="AD19">
        <f t="shared" si="12"/>
        <v>24.7</v>
      </c>
      <c r="AE19">
        <f t="shared" si="13"/>
        <v>-101</v>
      </c>
      <c r="AF19">
        <f t="shared" si="13"/>
        <v>-10.1</v>
      </c>
      <c r="AG19">
        <f>_xlfn.MINIFS(Stats!O:O,Stats!F:F,A19)</f>
        <v>7</v>
      </c>
      <c r="AH19">
        <f>-_xlfn.MINIFS(Stats!O:O,Stats!H:H,A19)</f>
        <v>-3</v>
      </c>
      <c r="AI19">
        <f>_xlfn.MAXIFS(Stats!O:O,Stats!F:F,A19)</f>
        <v>28</v>
      </c>
      <c r="AJ19">
        <f>-_xlfn.MAXIFS(Stats!O:O,Stats!H:H,A19)</f>
        <v>-21</v>
      </c>
      <c r="AK19">
        <f>_xlfn.MAXIFS(Stats!I:I,Stats!F:F,A19)</f>
        <v>38</v>
      </c>
      <c r="AL19">
        <f>IF(_xlfn.MINIFS(Stats!I:I,Stats!F:F,A19)&lt;_xlfn.MINIFS(Stats!J:J,Stats!H:H,A19),_xlfn.MINIFS(Stats!I:I,Stats!F:F,A19),_xlfn.MINIFS(Stats!J:J,Stats!H:H,A19))</f>
        <v>7</v>
      </c>
      <c r="AM19">
        <f>IF(_xlfn.MAXIFS(Stats!K:K,Stats!F:F,A19)&gt;_xlfn.MAXIFS(Stats!M:M,Stats!H:H,A19),_xlfn.MAXIFS(Stats!K:K,Stats!F:F,A19),_xlfn.MAXIFS(Stats!M:M,Stats!H:H,A19))</f>
        <v>421</v>
      </c>
      <c r="AN19">
        <f>IF(_xlfn.MINIFS(Stats!M:M,Stats!H:H,A19)&lt;_xlfn.MINIFS(Stats!K:K,Stats!F:F,A19),_xlfn.MINIFS(Stats!M:M,Stats!H:H,A19),_xlfn.MINIFS(Stats!K:K,Stats!F:F,A19))</f>
        <v>158</v>
      </c>
      <c r="AO19">
        <f>SUMIFS(Stats!K:K,Stats!F:F,A19)/D19</f>
        <v>357.28571428571428</v>
      </c>
      <c r="AP19">
        <f>SUMIFS(Stats!M:M,Stats!F:F,A19)/D19</f>
        <v>281.42857142857144</v>
      </c>
      <c r="AQ19">
        <f t="shared" si="14"/>
        <v>75.857142857142833</v>
      </c>
      <c r="AR19">
        <f>SUMIFS(Stats!M:M,Stats!H:H,A19)/E19</f>
        <v>311.7</v>
      </c>
      <c r="AS19">
        <f>SUMIFS(Stats!K:K,Stats!H:H,A19)/E19</f>
        <v>357.4</v>
      </c>
      <c r="AT19">
        <f t="shared" si="15"/>
        <v>-45.699999999999989</v>
      </c>
      <c r="AU19">
        <f>(SUMIFS(Stats!I:I,Stats!E:E,"H",Stats!F:F,A19)+SUMIFS(Stats!J:J,Stats!H:H,A19,Stats!G:G,"H"))/(F19+G19)</f>
        <v>20.777777777777779</v>
      </c>
      <c r="AV19">
        <f>(SUMIFS(Stats!K:K,Stats!F:F,A19,Stats!E:E,"H")+SUMIFS(Stats!M:M,Stats!G:G,"H",Stats!H:H,A19))/(F19+G19)</f>
        <v>323.88888888888891</v>
      </c>
      <c r="AW19">
        <f>(SUMIFS(Stats!I:I,Stats!E:E,"V",Stats!F:F,A19)+SUMIFS(Stats!J:J,Stats!H:H,A19,Stats!G:G,"V"))/(H19+I19)</f>
        <v>18.5</v>
      </c>
      <c r="AX19">
        <f>(SUMIFS(Stats!K:K,Stats!F:F,A19,Stats!E:E,"V")+SUMIFS(Stats!M:M,Stats!G:G,"V",Stats!H:H,A19))/(H19+I19)</f>
        <v>337.875</v>
      </c>
    </row>
    <row r="20" spans="1:50">
      <c r="A20" t="s">
        <v>52</v>
      </c>
      <c r="B20" t="s">
        <v>126</v>
      </c>
      <c r="C20" t="s">
        <v>128</v>
      </c>
      <c r="D20">
        <f>COUNTIF(Stats!F:F,A20)</f>
        <v>10</v>
      </c>
      <c r="E20">
        <f>COUNTIF(Stats!H:H,A20)</f>
        <v>8</v>
      </c>
      <c r="F20">
        <f>COUNTIFS(Stats!F:F,A20,Stats!E:E,"H")</f>
        <v>5</v>
      </c>
      <c r="G20">
        <f>COUNTIFS(Stats!H:H,A20,Stats!G:G,"H")</f>
        <v>4</v>
      </c>
      <c r="H20">
        <f t="shared" si="0"/>
        <v>5</v>
      </c>
      <c r="I20">
        <f t="shared" si="0"/>
        <v>4</v>
      </c>
      <c r="J20">
        <f>SUMIFS(Stats!I:I,Stats!F:F,A20)+SUMIFS(Stats!J:J,Stats!H:H,A20)</f>
        <v>393</v>
      </c>
      <c r="K20">
        <f t="shared" si="1"/>
        <v>21.833333333333332</v>
      </c>
      <c r="L20">
        <f>SUMIFS(Stats!I:I,Stats!H:H,A20)+SUMIFS(Stats!J:J,Stats!F:F,A20)</f>
        <v>465</v>
      </c>
      <c r="M20">
        <f t="shared" si="2"/>
        <v>25.833333333333332</v>
      </c>
      <c r="N20">
        <f t="shared" si="3"/>
        <v>-72</v>
      </c>
      <c r="O20">
        <f t="shared" si="4"/>
        <v>-4</v>
      </c>
      <c r="P20">
        <f>SUMIFS(Stats!K:K,Stats!F:F,A20)+SUMIFS(Stats!M:M,Stats!H:H,A20)</f>
        <v>6569</v>
      </c>
      <c r="Q20">
        <f>SUMIFS(Stats!K:K,Stats!H:H,A20)+SUMIFS(Stats!M:M,Stats!F:F,A20)</f>
        <v>6040</v>
      </c>
      <c r="R20">
        <f t="shared" si="5"/>
        <v>364.94444444444446</v>
      </c>
      <c r="S20">
        <f t="shared" si="6"/>
        <v>335.55555555555554</v>
      </c>
      <c r="T20">
        <f t="shared" si="7"/>
        <v>529</v>
      </c>
      <c r="U20">
        <f>SUMIFS(Stats!I:I,Stats!F:F,A20)</f>
        <v>284</v>
      </c>
      <c r="V20">
        <f t="shared" si="8"/>
        <v>28.4</v>
      </c>
      <c r="W20">
        <f>SUMIFS(Stats!J:J,Stats!F:F,A20)</f>
        <v>230</v>
      </c>
      <c r="X20">
        <f t="shared" si="9"/>
        <v>23</v>
      </c>
      <c r="Y20">
        <f t="shared" si="10"/>
        <v>54</v>
      </c>
      <c r="Z20">
        <f t="shared" si="10"/>
        <v>5.3999999999999986</v>
      </c>
      <c r="AA20">
        <f>SUMIFS(Stats!J:J,Stats!H:H,A20)</f>
        <v>109</v>
      </c>
      <c r="AB20">
        <f t="shared" si="11"/>
        <v>13.625</v>
      </c>
      <c r="AC20">
        <f>SUMIFS(Stats!I:I,Stats!H:H,A20)</f>
        <v>235</v>
      </c>
      <c r="AD20">
        <f t="shared" si="12"/>
        <v>29.375</v>
      </c>
      <c r="AE20">
        <f t="shared" si="13"/>
        <v>-126</v>
      </c>
      <c r="AF20">
        <f t="shared" si="13"/>
        <v>-15.75</v>
      </c>
      <c r="AG20">
        <f>_xlfn.MINIFS(Stats!O:O,Stats!F:F,A20)</f>
        <v>2</v>
      </c>
      <c r="AH20">
        <f>-_xlfn.MINIFS(Stats!O:O,Stats!H:H,A20)</f>
        <v>-2</v>
      </c>
      <c r="AI20">
        <f>_xlfn.MAXIFS(Stats!O:O,Stats!F:F,A20)</f>
        <v>11</v>
      </c>
      <c r="AJ20">
        <f>-_xlfn.MAXIFS(Stats!O:O,Stats!H:H,A20)</f>
        <v>-39</v>
      </c>
      <c r="AK20">
        <f>_xlfn.MAXIFS(Stats!I:I,Stats!F:F,A20)</f>
        <v>36</v>
      </c>
      <c r="AL20">
        <f>IF(_xlfn.MINIFS(Stats!I:I,Stats!F:F,A20)&lt;_xlfn.MINIFS(Stats!J:J,Stats!H:H,A20),_xlfn.MINIFS(Stats!I:I,Stats!F:F,A20),_xlfn.MINIFS(Stats!J:J,Stats!H:H,A20))</f>
        <v>9</v>
      </c>
      <c r="AM20">
        <f>IF(_xlfn.MAXIFS(Stats!K:K,Stats!F:F,A20)&gt;_xlfn.MAXIFS(Stats!M:M,Stats!H:H,A20),_xlfn.MAXIFS(Stats!K:K,Stats!F:F,A20),_xlfn.MAXIFS(Stats!M:M,Stats!H:H,A20))</f>
        <v>509</v>
      </c>
      <c r="AN20">
        <f>IF(_xlfn.MINIFS(Stats!M:M,Stats!H:H,A20)&lt;_xlfn.MINIFS(Stats!K:K,Stats!F:F,A20),_xlfn.MINIFS(Stats!M:M,Stats!H:H,A20),_xlfn.MINIFS(Stats!K:K,Stats!F:F,A20))</f>
        <v>213</v>
      </c>
      <c r="AO20">
        <f>SUMIFS(Stats!K:K,Stats!F:F,A20)/D20</f>
        <v>413.2</v>
      </c>
      <c r="AP20">
        <f>SUMIFS(Stats!M:M,Stats!F:F,A20)/D20</f>
        <v>337.9</v>
      </c>
      <c r="AQ20">
        <f t="shared" si="14"/>
        <v>75.300000000000011</v>
      </c>
      <c r="AR20">
        <f>SUMIFS(Stats!M:M,Stats!H:H,A20)/E20</f>
        <v>304.625</v>
      </c>
      <c r="AS20">
        <f>SUMIFS(Stats!K:K,Stats!H:H,A20)/E20</f>
        <v>332.625</v>
      </c>
      <c r="AT20">
        <f t="shared" si="15"/>
        <v>-28</v>
      </c>
      <c r="AU20">
        <f>(SUMIFS(Stats!I:I,Stats!E:E,"H",Stats!F:F,A20)+SUMIFS(Stats!J:J,Stats!H:H,A20,Stats!G:G,"H"))/(F20+G20)</f>
        <v>22.222222222222221</v>
      </c>
      <c r="AV20">
        <f>(SUMIFS(Stats!K:K,Stats!F:F,A20,Stats!E:E,"H")+SUMIFS(Stats!M:M,Stats!G:G,"H",Stats!H:H,A20))/(F20+G20)</f>
        <v>362.66666666666669</v>
      </c>
      <c r="AW20">
        <f>(SUMIFS(Stats!I:I,Stats!E:E,"V",Stats!F:F,A20)+SUMIFS(Stats!J:J,Stats!H:H,A20,Stats!G:G,"V"))/(H20+I20)</f>
        <v>21.444444444444443</v>
      </c>
      <c r="AX20">
        <f>(SUMIFS(Stats!K:K,Stats!F:F,A20,Stats!E:E,"V")+SUMIFS(Stats!M:M,Stats!G:G,"V",Stats!H:H,A20))/(H20+I20)</f>
        <v>367.22222222222223</v>
      </c>
    </row>
    <row r="21" spans="1:50">
      <c r="N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8"/>
      <c r="AC21" s="15"/>
      <c r="AD21" s="18"/>
      <c r="AE21" s="15"/>
      <c r="AF21" s="18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1:50">
      <c r="A22" t="s">
        <v>21</v>
      </c>
      <c r="B22" t="s">
        <v>123</v>
      </c>
      <c r="C22" t="s">
        <v>125</v>
      </c>
      <c r="D22">
        <f>COUNTIF(Stats!F:F,A22)</f>
        <v>9</v>
      </c>
      <c r="E22">
        <f>COUNTIF(Stats!H:H,A22)</f>
        <v>9</v>
      </c>
      <c r="F22">
        <f>COUNTIFS(Stats!F:F,A22,Stats!E:E,"H")</f>
        <v>3</v>
      </c>
      <c r="G22">
        <f>COUNTIFS(Stats!H:H,A22,Stats!G:G,"H")</f>
        <v>5</v>
      </c>
      <c r="H22">
        <f t="shared" si="0"/>
        <v>6</v>
      </c>
      <c r="I22">
        <f t="shared" si="0"/>
        <v>4</v>
      </c>
      <c r="J22">
        <f>SUMIFS(Stats!I:I,Stats!F:F,A22)+SUMIFS(Stats!J:J,Stats!H:H,A22)</f>
        <v>459</v>
      </c>
      <c r="K22">
        <f t="shared" si="1"/>
        <v>25.5</v>
      </c>
      <c r="L22">
        <f>SUMIFS(Stats!I:I,Stats!H:H,A22)+SUMIFS(Stats!J:J,Stats!F:F,A22)</f>
        <v>416</v>
      </c>
      <c r="M22">
        <f t="shared" si="2"/>
        <v>23.111111111111111</v>
      </c>
      <c r="N22">
        <f t="shared" si="3"/>
        <v>43</v>
      </c>
      <c r="O22">
        <f t="shared" si="4"/>
        <v>2.3888888888888888</v>
      </c>
      <c r="P22">
        <f>SUMIFS(Stats!K:K,Stats!F:F,A22)+SUMIFS(Stats!M:M,Stats!H:H,A22)</f>
        <v>6458</v>
      </c>
      <c r="Q22">
        <f>SUMIFS(Stats!K:K,Stats!H:H,A22)+SUMIFS(Stats!M:M,Stats!F:F,A22)</f>
        <v>5939</v>
      </c>
      <c r="R22">
        <f t="shared" si="5"/>
        <v>358.77777777777777</v>
      </c>
      <c r="S22">
        <f t="shared" si="6"/>
        <v>329.94444444444446</v>
      </c>
      <c r="T22">
        <f t="shared" si="7"/>
        <v>519</v>
      </c>
      <c r="U22">
        <f>SUMIFS(Stats!I:I,Stats!F:F,A22)</f>
        <v>281</v>
      </c>
      <c r="V22">
        <f t="shared" si="8"/>
        <v>31.222222222222221</v>
      </c>
      <c r="W22">
        <f>SUMIFS(Stats!J:J,Stats!F:F,A22)</f>
        <v>133</v>
      </c>
      <c r="X22">
        <f t="shared" si="9"/>
        <v>14.777777777777779</v>
      </c>
      <c r="Y22">
        <f t="shared" si="10"/>
        <v>148</v>
      </c>
      <c r="Z22">
        <f t="shared" si="10"/>
        <v>16.444444444444443</v>
      </c>
      <c r="AA22">
        <f>SUMIFS(Stats!J:J,Stats!H:H,A22)</f>
        <v>178</v>
      </c>
      <c r="AB22">
        <f t="shared" si="11"/>
        <v>19.777777777777779</v>
      </c>
      <c r="AC22">
        <f>SUMIFS(Stats!I:I,Stats!H:H,A22)</f>
        <v>283</v>
      </c>
      <c r="AD22">
        <f t="shared" si="12"/>
        <v>31.444444444444443</v>
      </c>
      <c r="AE22">
        <f t="shared" si="13"/>
        <v>-105</v>
      </c>
      <c r="AF22">
        <f t="shared" si="13"/>
        <v>-11.666666666666664</v>
      </c>
      <c r="AG22">
        <f>_xlfn.MINIFS(Stats!O:O,Stats!F:F,A22)</f>
        <v>3</v>
      </c>
      <c r="AH22">
        <f>-_xlfn.MINIFS(Stats!O:O,Stats!H:H,A22)</f>
        <v>-3</v>
      </c>
      <c r="AI22">
        <f>_xlfn.MAXIFS(Stats!O:O,Stats!F:F,A22)</f>
        <v>38</v>
      </c>
      <c r="AJ22">
        <f>-_xlfn.MAXIFS(Stats!O:O,Stats!H:H,A22)</f>
        <v>-25</v>
      </c>
      <c r="AK22">
        <f>_xlfn.MAXIFS(Stats!I:I,Stats!F:F,A22)</f>
        <v>44</v>
      </c>
      <c r="AL22">
        <f>IF(_xlfn.MINIFS(Stats!I:I,Stats!F:F,A22)&lt;_xlfn.MINIFS(Stats!J:J,Stats!H:H,A22),_xlfn.MINIFS(Stats!I:I,Stats!F:F,A22),_xlfn.MINIFS(Stats!J:J,Stats!H:H,A22))</f>
        <v>7</v>
      </c>
      <c r="AM22">
        <f>IF(_xlfn.MAXIFS(Stats!K:K,Stats!F:F,A22)&gt;_xlfn.MAXIFS(Stats!M:M,Stats!H:H,A22),_xlfn.MAXIFS(Stats!K:K,Stats!F:F,A22),_xlfn.MAXIFS(Stats!M:M,Stats!H:H,A22))</f>
        <v>519</v>
      </c>
      <c r="AN22">
        <f>IF(_xlfn.MINIFS(Stats!M:M,Stats!H:H,A22)&lt;_xlfn.MINIFS(Stats!K:K,Stats!F:F,A22),_xlfn.MINIFS(Stats!M:M,Stats!H:H,A22),_xlfn.MINIFS(Stats!K:K,Stats!F:F,A22))</f>
        <v>213</v>
      </c>
      <c r="AO22">
        <f>SUMIFS(Stats!K:K,Stats!F:F,A22)/D22</f>
        <v>379.33333333333331</v>
      </c>
      <c r="AP22">
        <f>SUMIFS(Stats!M:M,Stats!F:F,A22)/D22</f>
        <v>267.55555555555554</v>
      </c>
      <c r="AQ22">
        <f t="shared" si="14"/>
        <v>111.77777777777777</v>
      </c>
      <c r="AR22">
        <f>SUMIFS(Stats!M:M,Stats!H:H,A22)/E22</f>
        <v>338.22222222222223</v>
      </c>
      <c r="AS22">
        <f>SUMIFS(Stats!K:K,Stats!H:H,A22)/E22</f>
        <v>392.33333333333331</v>
      </c>
      <c r="AT22">
        <f t="shared" si="15"/>
        <v>-54.111111111111086</v>
      </c>
      <c r="AU22">
        <f>(SUMIFS(Stats!I:I,Stats!E:E,"H",Stats!F:F,A22)+SUMIFS(Stats!J:J,Stats!H:H,A22,Stats!G:G,"H"))/(F22+G22)</f>
        <v>26.75</v>
      </c>
      <c r="AV22">
        <f>(SUMIFS(Stats!K:K,Stats!F:F,A22,Stats!E:E,"H")+SUMIFS(Stats!M:M,Stats!G:G,"H",Stats!H:H,A22))/(F22+G22)</f>
        <v>358.875</v>
      </c>
      <c r="AW22">
        <f>(SUMIFS(Stats!I:I,Stats!E:E,"V",Stats!F:F,A22)+SUMIFS(Stats!J:J,Stats!H:H,A22,Stats!G:G,"V"))/(H22+I22)</f>
        <v>24.5</v>
      </c>
      <c r="AX22">
        <f>(SUMIFS(Stats!K:K,Stats!F:F,A22,Stats!E:E,"V")+SUMIFS(Stats!M:M,Stats!G:G,"V",Stats!H:H,A22))/(H22+I22)</f>
        <v>358.7</v>
      </c>
    </row>
    <row r="23" spans="1:50">
      <c r="A23" t="s">
        <v>38</v>
      </c>
      <c r="B23" t="s">
        <v>123</v>
      </c>
      <c r="C23" t="s">
        <v>125</v>
      </c>
      <c r="D23">
        <f>COUNTIF(Stats!F:F,A23)</f>
        <v>7</v>
      </c>
      <c r="E23">
        <f>COUNTIF(Stats!H:H,A23)</f>
        <v>10</v>
      </c>
      <c r="F23">
        <f>COUNTIFS(Stats!F:F,A23,Stats!E:E,"H")</f>
        <v>3</v>
      </c>
      <c r="G23">
        <f>COUNTIFS(Stats!H:H,A23,Stats!G:G,"H")</f>
        <v>5</v>
      </c>
      <c r="H23">
        <f t="shared" si="0"/>
        <v>4</v>
      </c>
      <c r="I23">
        <f t="shared" si="0"/>
        <v>5</v>
      </c>
      <c r="J23">
        <f>SUMIFS(Stats!I:I,Stats!F:F,A23)+SUMIFS(Stats!J:J,Stats!H:H,A23)</f>
        <v>335</v>
      </c>
      <c r="K23">
        <f t="shared" si="1"/>
        <v>19.705882352941178</v>
      </c>
      <c r="L23">
        <f>SUMIFS(Stats!I:I,Stats!H:H,A23)+SUMIFS(Stats!J:J,Stats!F:F,A23)</f>
        <v>434</v>
      </c>
      <c r="M23">
        <f t="shared" si="2"/>
        <v>25.529411764705884</v>
      </c>
      <c r="N23">
        <f t="shared" si="3"/>
        <v>-99</v>
      </c>
      <c r="O23">
        <f t="shared" si="4"/>
        <v>-5.8235294117647056</v>
      </c>
      <c r="P23">
        <f>SUMIFS(Stats!K:K,Stats!F:F,A23)+SUMIFS(Stats!M:M,Stats!H:H,A23)</f>
        <v>5502</v>
      </c>
      <c r="Q23">
        <f>SUMIFS(Stats!K:K,Stats!H:H,A23)+SUMIFS(Stats!M:M,Stats!F:F,A23)</f>
        <v>6108</v>
      </c>
      <c r="R23">
        <f t="shared" si="5"/>
        <v>323.64705882352939</v>
      </c>
      <c r="S23">
        <f t="shared" si="6"/>
        <v>359.29411764705884</v>
      </c>
      <c r="T23">
        <f t="shared" si="7"/>
        <v>-606</v>
      </c>
      <c r="U23">
        <f>SUMIFS(Stats!I:I,Stats!F:F,A23)</f>
        <v>176</v>
      </c>
      <c r="V23">
        <f t="shared" si="8"/>
        <v>25.142857142857142</v>
      </c>
      <c r="W23">
        <f>SUMIFS(Stats!J:J,Stats!F:F,A23)</f>
        <v>136</v>
      </c>
      <c r="X23">
        <f t="shared" si="9"/>
        <v>19.428571428571427</v>
      </c>
      <c r="Y23">
        <f t="shared" si="10"/>
        <v>40</v>
      </c>
      <c r="Z23">
        <f t="shared" si="10"/>
        <v>5.7142857142857153</v>
      </c>
      <c r="AA23">
        <f>SUMIFS(Stats!J:J,Stats!H:H,A23)</f>
        <v>159</v>
      </c>
      <c r="AB23">
        <f t="shared" si="11"/>
        <v>15.9</v>
      </c>
      <c r="AC23">
        <f>SUMIFS(Stats!I:I,Stats!H:H,A23)</f>
        <v>298</v>
      </c>
      <c r="AD23">
        <f t="shared" si="12"/>
        <v>29.8</v>
      </c>
      <c r="AE23">
        <f t="shared" si="13"/>
        <v>-139</v>
      </c>
      <c r="AF23">
        <f t="shared" si="13"/>
        <v>-13.9</v>
      </c>
      <c r="AG23">
        <f>_xlfn.MINIFS(Stats!O:O,Stats!F:F,A23)</f>
        <v>1</v>
      </c>
      <c r="AH23">
        <f>-_xlfn.MINIFS(Stats!O:O,Stats!H:H,A23)</f>
        <v>-4</v>
      </c>
      <c r="AI23">
        <f>_xlfn.MAXIFS(Stats!O:O,Stats!F:F,A23)</f>
        <v>15</v>
      </c>
      <c r="AJ23">
        <f>-_xlfn.MAXIFS(Stats!O:O,Stats!H:H,A23)</f>
        <v>-42</v>
      </c>
      <c r="AK23">
        <f>_xlfn.MAXIFS(Stats!I:I,Stats!F:F,A23)</f>
        <v>34</v>
      </c>
      <c r="AL23">
        <f>IF(_xlfn.MINIFS(Stats!I:I,Stats!F:F,A23)&lt;_xlfn.MINIFS(Stats!J:J,Stats!H:H,A23),_xlfn.MINIFS(Stats!I:I,Stats!F:F,A23),_xlfn.MINIFS(Stats!J:J,Stats!H:H,A23))</f>
        <v>10</v>
      </c>
      <c r="AM23">
        <f>IF(_xlfn.MAXIFS(Stats!K:K,Stats!F:F,A23)&gt;_xlfn.MAXIFS(Stats!M:M,Stats!H:H,A23),_xlfn.MAXIFS(Stats!K:K,Stats!F:F,A23),_xlfn.MAXIFS(Stats!M:M,Stats!H:H,A23))</f>
        <v>430</v>
      </c>
      <c r="AN23">
        <f>IF(_xlfn.MINIFS(Stats!M:M,Stats!H:H,A23)&lt;_xlfn.MINIFS(Stats!K:K,Stats!F:F,A23),_xlfn.MINIFS(Stats!M:M,Stats!H:H,A23),_xlfn.MINIFS(Stats!K:K,Stats!F:F,A23))</f>
        <v>224</v>
      </c>
      <c r="AO23">
        <f>SUMIFS(Stats!K:K,Stats!F:F,A23)/D23</f>
        <v>357.42857142857144</v>
      </c>
      <c r="AP23">
        <f>SUMIFS(Stats!M:M,Stats!F:F,A23)/D23</f>
        <v>298.42857142857144</v>
      </c>
      <c r="AQ23">
        <f t="shared" si="14"/>
        <v>59</v>
      </c>
      <c r="AR23">
        <f>SUMIFS(Stats!M:M,Stats!H:H,A23)/E23</f>
        <v>300</v>
      </c>
      <c r="AS23">
        <f>SUMIFS(Stats!K:K,Stats!H:H,A23)/E23</f>
        <v>401.9</v>
      </c>
      <c r="AT23">
        <f t="shared" si="15"/>
        <v>-101.89999999999998</v>
      </c>
      <c r="AU23">
        <f>(SUMIFS(Stats!I:I,Stats!E:E,"H",Stats!F:F,A23)+SUMIFS(Stats!J:J,Stats!H:H,A23,Stats!G:G,"H"))/(F23+G23)</f>
        <v>20.375</v>
      </c>
      <c r="AV23">
        <f>(SUMIFS(Stats!K:K,Stats!F:F,A23,Stats!E:E,"H")+SUMIFS(Stats!M:M,Stats!G:G,"H",Stats!H:H,A23))/(F23+G23)</f>
        <v>317.75</v>
      </c>
      <c r="AW23">
        <f>(SUMIFS(Stats!I:I,Stats!E:E,"V",Stats!F:F,A23)+SUMIFS(Stats!J:J,Stats!H:H,A23,Stats!G:G,"V"))/(H23+I23)</f>
        <v>19.111111111111111</v>
      </c>
      <c r="AX23">
        <f>(SUMIFS(Stats!K:K,Stats!F:F,A23,Stats!E:E,"V")+SUMIFS(Stats!M:M,Stats!G:G,"V",Stats!H:H,A23))/(H23+I23)</f>
        <v>328.88888888888891</v>
      </c>
    </row>
    <row r="24" spans="1:50">
      <c r="A24" t="s">
        <v>18</v>
      </c>
      <c r="B24" t="s">
        <v>123</v>
      </c>
      <c r="C24" t="s">
        <v>125</v>
      </c>
      <c r="D24">
        <f>COUNTIF(Stats!F:F,A24)</f>
        <v>12</v>
      </c>
      <c r="E24">
        <f>COUNTIF(Stats!H:H,A24)</f>
        <v>6</v>
      </c>
      <c r="F24">
        <f>COUNTIFS(Stats!F:F,A24,Stats!E:E,"H")</f>
        <v>5</v>
      </c>
      <c r="G24">
        <f>COUNTIFS(Stats!H:H,A24,Stats!G:G,"H")</f>
        <v>4</v>
      </c>
      <c r="H24">
        <f t="shared" si="0"/>
        <v>7</v>
      </c>
      <c r="I24">
        <f t="shared" si="0"/>
        <v>2</v>
      </c>
      <c r="J24">
        <f>SUMIFS(Stats!I:I,Stats!F:F,A24)+SUMIFS(Stats!J:J,Stats!H:H,A24)</f>
        <v>547</v>
      </c>
      <c r="K24">
        <f t="shared" si="1"/>
        <v>30.388888888888889</v>
      </c>
      <c r="L24">
        <f>SUMIFS(Stats!I:I,Stats!H:H,A24)+SUMIFS(Stats!J:J,Stats!F:F,A24)</f>
        <v>381</v>
      </c>
      <c r="M24">
        <f t="shared" si="2"/>
        <v>21.166666666666668</v>
      </c>
      <c r="N24">
        <f t="shared" si="3"/>
        <v>166</v>
      </c>
      <c r="O24">
        <f t="shared" si="4"/>
        <v>9.2222222222222214</v>
      </c>
      <c r="P24">
        <f>SUMIFS(Stats!K:K,Stats!F:F,A24)+SUMIFS(Stats!M:M,Stats!H:H,A24)</f>
        <v>7226</v>
      </c>
      <c r="Q24">
        <f>SUMIFS(Stats!K:K,Stats!H:H,A24)+SUMIFS(Stats!M:M,Stats!F:F,A24)</f>
        <v>6308</v>
      </c>
      <c r="R24">
        <f t="shared" si="5"/>
        <v>401.44444444444446</v>
      </c>
      <c r="S24">
        <f t="shared" si="6"/>
        <v>350.44444444444446</v>
      </c>
      <c r="T24">
        <f t="shared" si="7"/>
        <v>918</v>
      </c>
      <c r="U24">
        <f>SUMIFS(Stats!I:I,Stats!F:F,A24)</f>
        <v>421</v>
      </c>
      <c r="V24">
        <f t="shared" si="8"/>
        <v>35.083333333333336</v>
      </c>
      <c r="W24">
        <f>SUMIFS(Stats!J:J,Stats!F:F,A24)</f>
        <v>217</v>
      </c>
      <c r="X24">
        <f t="shared" si="9"/>
        <v>18.083333333333332</v>
      </c>
      <c r="Y24">
        <f t="shared" si="10"/>
        <v>204</v>
      </c>
      <c r="Z24">
        <f t="shared" si="10"/>
        <v>17.000000000000004</v>
      </c>
      <c r="AA24">
        <f>SUMIFS(Stats!J:J,Stats!H:H,A24)</f>
        <v>126</v>
      </c>
      <c r="AB24">
        <f t="shared" si="11"/>
        <v>21</v>
      </c>
      <c r="AC24">
        <f>SUMIFS(Stats!I:I,Stats!H:H,A24)</f>
        <v>164</v>
      </c>
      <c r="AD24">
        <f t="shared" si="12"/>
        <v>27.333333333333332</v>
      </c>
      <c r="AE24">
        <f t="shared" si="13"/>
        <v>-38</v>
      </c>
      <c r="AF24">
        <f t="shared" si="13"/>
        <v>-6.3333333333333321</v>
      </c>
      <c r="AG24">
        <f>_xlfn.MINIFS(Stats!O:O,Stats!F:F,A24)</f>
        <v>3</v>
      </c>
      <c r="AH24">
        <f>-_xlfn.MINIFS(Stats!O:O,Stats!H:H,A24)</f>
        <v>-2</v>
      </c>
      <c r="AI24">
        <f>_xlfn.MAXIFS(Stats!O:O,Stats!F:F,A24)</f>
        <v>42</v>
      </c>
      <c r="AJ24">
        <f>-_xlfn.MAXIFS(Stats!O:O,Stats!H:H,A24)</f>
        <v>-14</v>
      </c>
      <c r="AK24">
        <f>_xlfn.MAXIFS(Stats!I:I,Stats!F:F,A24)</f>
        <v>56</v>
      </c>
      <c r="AL24">
        <f>IF(_xlfn.MINIFS(Stats!I:I,Stats!F:F,A24)&lt;_xlfn.MINIFS(Stats!J:J,Stats!H:H,A24),_xlfn.MINIFS(Stats!I:I,Stats!F:F,A24),_xlfn.MINIFS(Stats!J:J,Stats!H:H,A24))</f>
        <v>9</v>
      </c>
      <c r="AM24">
        <f>IF(_xlfn.MAXIFS(Stats!K:K,Stats!F:F,A24)&gt;_xlfn.MAXIFS(Stats!M:M,Stats!H:H,A24),_xlfn.MAXIFS(Stats!K:K,Stats!F:F,A24),_xlfn.MAXIFS(Stats!M:M,Stats!H:H,A24))</f>
        <v>567</v>
      </c>
      <c r="AN24">
        <f>IF(_xlfn.MINIFS(Stats!M:M,Stats!H:H,A24)&lt;_xlfn.MINIFS(Stats!K:K,Stats!F:F,A24),_xlfn.MINIFS(Stats!M:M,Stats!H:H,A24),_xlfn.MINIFS(Stats!K:K,Stats!F:F,A24))</f>
        <v>276</v>
      </c>
      <c r="AO24">
        <f>SUMIFS(Stats!K:K,Stats!F:F,A24)/D24</f>
        <v>430.33333333333331</v>
      </c>
      <c r="AP24">
        <f>SUMIFS(Stats!M:M,Stats!F:F,A24)/D24</f>
        <v>320.91666666666669</v>
      </c>
      <c r="AQ24">
        <f t="shared" si="14"/>
        <v>109.41666666666663</v>
      </c>
      <c r="AR24">
        <f>SUMIFS(Stats!M:M,Stats!H:H,A24)/E24</f>
        <v>343.66666666666669</v>
      </c>
      <c r="AS24">
        <f>SUMIFS(Stats!K:K,Stats!H:H,A24)/E24</f>
        <v>409.5</v>
      </c>
      <c r="AT24">
        <f t="shared" si="15"/>
        <v>-65.833333333333314</v>
      </c>
      <c r="AU24">
        <f>(SUMIFS(Stats!I:I,Stats!E:E,"H",Stats!F:F,A24)+SUMIFS(Stats!J:J,Stats!H:H,A24,Stats!G:G,"H"))/(F24+G24)</f>
        <v>34.222222222222221</v>
      </c>
      <c r="AV24">
        <f>(SUMIFS(Stats!K:K,Stats!F:F,A24,Stats!E:E,"H")+SUMIFS(Stats!M:M,Stats!G:G,"H",Stats!H:H,A24))/(F24+G24)</f>
        <v>399</v>
      </c>
      <c r="AW24">
        <f>(SUMIFS(Stats!I:I,Stats!E:E,"V",Stats!F:F,A24)+SUMIFS(Stats!J:J,Stats!H:H,A24,Stats!G:G,"V"))/(H24+I24)</f>
        <v>26.555555555555557</v>
      </c>
      <c r="AX24">
        <f>(SUMIFS(Stats!K:K,Stats!F:F,A24,Stats!E:E,"V")+SUMIFS(Stats!M:M,Stats!G:G,"V",Stats!H:H,A24))/(H24+I24)</f>
        <v>403.88888888888891</v>
      </c>
    </row>
    <row r="25" spans="1:50">
      <c r="A25" t="s">
        <v>43</v>
      </c>
      <c r="B25" t="s">
        <v>123</v>
      </c>
      <c r="C25" t="s">
        <v>125</v>
      </c>
      <c r="D25">
        <f>COUNTIF(Stats!F:F,A25)</f>
        <v>4</v>
      </c>
      <c r="E25">
        <f>COUNTIF(Stats!H:H,A25)</f>
        <v>13</v>
      </c>
      <c r="F25">
        <f>COUNTIFS(Stats!F:F,A25,Stats!E:E,"H")</f>
        <v>3</v>
      </c>
      <c r="G25">
        <f>COUNTIFS(Stats!H:H,A25,Stats!G:G,"H")</f>
        <v>5</v>
      </c>
      <c r="H25">
        <f t="shared" si="0"/>
        <v>1</v>
      </c>
      <c r="I25">
        <f t="shared" si="0"/>
        <v>8</v>
      </c>
      <c r="J25">
        <f>SUMIFS(Stats!I:I,Stats!F:F,A25)+SUMIFS(Stats!J:J,Stats!H:H,A25)</f>
        <v>258</v>
      </c>
      <c r="K25">
        <f t="shared" si="1"/>
        <v>15.176470588235293</v>
      </c>
      <c r="L25">
        <f>SUMIFS(Stats!I:I,Stats!H:H,A25)+SUMIFS(Stats!J:J,Stats!F:F,A25)</f>
        <v>416</v>
      </c>
      <c r="M25">
        <f t="shared" si="2"/>
        <v>24.470588235294116</v>
      </c>
      <c r="N25">
        <f t="shared" si="3"/>
        <v>-158</v>
      </c>
      <c r="O25">
        <f t="shared" si="4"/>
        <v>-9.2941176470588243</v>
      </c>
      <c r="P25">
        <f>SUMIFS(Stats!K:K,Stats!F:F,A25)+SUMIFS(Stats!M:M,Stats!H:H,A25)</f>
        <v>4884</v>
      </c>
      <c r="Q25">
        <f>SUMIFS(Stats!K:K,Stats!H:H,A25)+SUMIFS(Stats!M:M,Stats!F:F,A25)</f>
        <v>6032</v>
      </c>
      <c r="R25">
        <f t="shared" si="5"/>
        <v>287.29411764705884</v>
      </c>
      <c r="S25">
        <f t="shared" si="6"/>
        <v>354.8235294117647</v>
      </c>
      <c r="T25">
        <f t="shared" si="7"/>
        <v>-1148</v>
      </c>
      <c r="U25">
        <f>SUMIFS(Stats!I:I,Stats!F:F,A25)</f>
        <v>88</v>
      </c>
      <c r="V25">
        <f t="shared" si="8"/>
        <v>22</v>
      </c>
      <c r="W25">
        <f>SUMIFS(Stats!J:J,Stats!F:F,A25)</f>
        <v>47</v>
      </c>
      <c r="X25">
        <f t="shared" si="9"/>
        <v>11.75</v>
      </c>
      <c r="Y25">
        <f t="shared" si="10"/>
        <v>41</v>
      </c>
      <c r="Z25">
        <f t="shared" si="10"/>
        <v>10.25</v>
      </c>
      <c r="AA25">
        <f>SUMIFS(Stats!J:J,Stats!H:H,A25)</f>
        <v>170</v>
      </c>
      <c r="AB25">
        <f t="shared" si="11"/>
        <v>13.076923076923077</v>
      </c>
      <c r="AC25">
        <f>SUMIFS(Stats!I:I,Stats!H:H,A25)</f>
        <v>369</v>
      </c>
      <c r="AD25">
        <f t="shared" si="12"/>
        <v>28.384615384615383</v>
      </c>
      <c r="AE25">
        <f t="shared" si="13"/>
        <v>-199</v>
      </c>
      <c r="AF25">
        <f t="shared" si="13"/>
        <v>-15.307692307692307</v>
      </c>
      <c r="AG25">
        <f>_xlfn.MINIFS(Stats!O:O,Stats!F:F,A25)</f>
        <v>6</v>
      </c>
      <c r="AH25">
        <f>-_xlfn.MINIFS(Stats!O:O,Stats!H:H,A25)</f>
        <v>-1</v>
      </c>
      <c r="AI25">
        <f>_xlfn.MAXIFS(Stats!O:O,Stats!F:F,A25)</f>
        <v>22</v>
      </c>
      <c r="AJ25">
        <f>-_xlfn.MAXIFS(Stats!O:O,Stats!H:H,A25)</f>
        <v>-27</v>
      </c>
      <c r="AK25">
        <f>_xlfn.MAXIFS(Stats!I:I,Stats!F:F,A25)</f>
        <v>27</v>
      </c>
      <c r="AL25">
        <f>IF(_xlfn.MINIFS(Stats!I:I,Stats!F:F,A25)&lt;_xlfn.MINIFS(Stats!J:J,Stats!H:H,A25),_xlfn.MINIFS(Stats!I:I,Stats!F:F,A25),_xlfn.MINIFS(Stats!J:J,Stats!H:H,A25))</f>
        <v>3</v>
      </c>
      <c r="AM25">
        <f>IF(_xlfn.MAXIFS(Stats!K:K,Stats!F:F,A25)&gt;_xlfn.MAXIFS(Stats!M:M,Stats!H:H,A25),_xlfn.MAXIFS(Stats!K:K,Stats!F:F,A25),_xlfn.MAXIFS(Stats!M:M,Stats!H:H,A25))</f>
        <v>485</v>
      </c>
      <c r="AN25">
        <f>IF(_xlfn.MINIFS(Stats!M:M,Stats!H:H,A25)&lt;_xlfn.MINIFS(Stats!K:K,Stats!F:F,A25),_xlfn.MINIFS(Stats!M:M,Stats!H:H,A25),_xlfn.MINIFS(Stats!K:K,Stats!F:F,A25))</f>
        <v>155</v>
      </c>
      <c r="AO25">
        <f>SUMIFS(Stats!K:K,Stats!F:F,A25)/D25</f>
        <v>324.5</v>
      </c>
      <c r="AP25">
        <f>SUMIFS(Stats!M:M,Stats!F:F,A25)/D25</f>
        <v>328.25</v>
      </c>
      <c r="AQ25">
        <f t="shared" si="14"/>
        <v>-3.75</v>
      </c>
      <c r="AR25">
        <f>SUMIFS(Stats!M:M,Stats!H:H,A25)/E25</f>
        <v>275.84615384615387</v>
      </c>
      <c r="AS25">
        <f>SUMIFS(Stats!K:K,Stats!H:H,A25)/E25</f>
        <v>363</v>
      </c>
      <c r="AT25">
        <f t="shared" si="15"/>
        <v>-87.153846153846132</v>
      </c>
      <c r="AU25">
        <f>(SUMIFS(Stats!I:I,Stats!E:E,"H",Stats!F:F,A25)+SUMIFS(Stats!J:J,Stats!H:H,A25,Stats!G:G,"H"))/(F25+G25)</f>
        <v>14</v>
      </c>
      <c r="AV25">
        <f>(SUMIFS(Stats!K:K,Stats!F:F,A25,Stats!E:E,"H")+SUMIFS(Stats!M:M,Stats!G:G,"H",Stats!H:H,A25))/(F25+G25)</f>
        <v>276.625</v>
      </c>
      <c r="AW25">
        <f>(SUMIFS(Stats!I:I,Stats!E:E,"V",Stats!F:F,A25)+SUMIFS(Stats!J:J,Stats!H:H,A25,Stats!G:G,"V"))/(H25+I25)</f>
        <v>16.222222222222221</v>
      </c>
      <c r="AX25">
        <f>(SUMIFS(Stats!K:K,Stats!F:F,A25,Stats!E:E,"V")+SUMIFS(Stats!M:M,Stats!G:G,"V",Stats!H:H,A25))/(H25+I25)</f>
        <v>296.77777777777777</v>
      </c>
    </row>
    <row r="26" spans="1:50">
      <c r="N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8"/>
      <c r="AC26" s="15"/>
      <c r="AD26" s="18"/>
      <c r="AE26" s="15"/>
      <c r="AF26" s="18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1:50">
      <c r="A27" t="s">
        <v>49</v>
      </c>
      <c r="B27" t="s">
        <v>123</v>
      </c>
      <c r="C27" t="s">
        <v>127</v>
      </c>
      <c r="D27">
        <f>COUNTIF(Stats!F:F,A27)</f>
        <v>6</v>
      </c>
      <c r="E27">
        <f>COUNTIF(Stats!H:H,A27)</f>
        <v>11</v>
      </c>
      <c r="F27">
        <f>COUNTIFS(Stats!F:F,A27,Stats!E:E,"H")</f>
        <v>3</v>
      </c>
      <c r="G27">
        <f>COUNTIFS(Stats!H:H,A27,Stats!G:G,"H")</f>
        <v>5</v>
      </c>
      <c r="H27">
        <f t="shared" si="0"/>
        <v>3</v>
      </c>
      <c r="I27">
        <f t="shared" si="0"/>
        <v>6</v>
      </c>
      <c r="J27">
        <f>SUMIFS(Stats!I:I,Stats!F:F,A27)+SUMIFS(Stats!J:J,Stats!H:H,A27)</f>
        <v>311</v>
      </c>
      <c r="K27">
        <f t="shared" si="1"/>
        <v>18.294117647058822</v>
      </c>
      <c r="L27">
        <f>SUMIFS(Stats!I:I,Stats!H:H,A27)+SUMIFS(Stats!J:J,Stats!F:F,A27)</f>
        <v>407</v>
      </c>
      <c r="M27">
        <f t="shared" si="2"/>
        <v>23.941176470588236</v>
      </c>
      <c r="N27">
        <f t="shared" si="3"/>
        <v>-96</v>
      </c>
      <c r="O27">
        <f t="shared" si="4"/>
        <v>-5.6470588235294121</v>
      </c>
      <c r="P27">
        <f>SUMIFS(Stats!K:K,Stats!F:F,A27)+SUMIFS(Stats!M:M,Stats!H:H,A27)</f>
        <v>5225</v>
      </c>
      <c r="Q27">
        <f>SUMIFS(Stats!K:K,Stats!H:H,A27)+SUMIFS(Stats!M:M,Stats!F:F,A27)</f>
        <v>5384</v>
      </c>
      <c r="R27">
        <f t="shared" si="5"/>
        <v>307.35294117647061</v>
      </c>
      <c r="S27">
        <f t="shared" si="6"/>
        <v>316.70588235294116</v>
      </c>
      <c r="T27">
        <f t="shared" si="7"/>
        <v>-159</v>
      </c>
      <c r="U27">
        <f>SUMIFS(Stats!I:I,Stats!F:F,A27)</f>
        <v>134</v>
      </c>
      <c r="V27">
        <f t="shared" si="8"/>
        <v>22.333333333333332</v>
      </c>
      <c r="W27">
        <f>SUMIFS(Stats!J:J,Stats!F:F,A27)</f>
        <v>81</v>
      </c>
      <c r="X27">
        <f t="shared" si="9"/>
        <v>13.5</v>
      </c>
      <c r="Y27">
        <f t="shared" si="10"/>
        <v>53</v>
      </c>
      <c r="Z27">
        <f t="shared" si="10"/>
        <v>8.8333333333333321</v>
      </c>
      <c r="AA27">
        <f>SUMIFS(Stats!J:J,Stats!H:H,A27)</f>
        <v>177</v>
      </c>
      <c r="AB27">
        <f t="shared" si="11"/>
        <v>16.09090909090909</v>
      </c>
      <c r="AC27">
        <f>SUMIFS(Stats!I:I,Stats!H:H,A27)</f>
        <v>326</v>
      </c>
      <c r="AD27">
        <f t="shared" si="12"/>
        <v>29.636363636363637</v>
      </c>
      <c r="AE27">
        <f t="shared" si="13"/>
        <v>-149</v>
      </c>
      <c r="AF27">
        <f t="shared" si="13"/>
        <v>-13.545454545454547</v>
      </c>
      <c r="AG27">
        <f>_xlfn.MINIFS(Stats!O:O,Stats!F:F,A27)</f>
        <v>1</v>
      </c>
      <c r="AH27">
        <f>-_xlfn.MINIFS(Stats!O:O,Stats!H:H,A27)</f>
        <v>-2</v>
      </c>
      <c r="AI27">
        <f>_xlfn.MAXIFS(Stats!O:O,Stats!F:F,A27)</f>
        <v>26</v>
      </c>
      <c r="AJ27">
        <f>-_xlfn.MAXIFS(Stats!O:O,Stats!H:H,A27)</f>
        <v>-35</v>
      </c>
      <c r="AK27">
        <f>_xlfn.MAXIFS(Stats!I:I,Stats!F:F,A27)</f>
        <v>29</v>
      </c>
      <c r="AL27">
        <f>IF(_xlfn.MINIFS(Stats!I:I,Stats!F:F,A27)&lt;_xlfn.MINIFS(Stats!J:J,Stats!H:H,A27),_xlfn.MINIFS(Stats!I:I,Stats!F:F,A27),_xlfn.MINIFS(Stats!J:J,Stats!H:H,A27))</f>
        <v>3</v>
      </c>
      <c r="AM27">
        <f>IF(_xlfn.MAXIFS(Stats!K:K,Stats!F:F,A27)&gt;_xlfn.MAXIFS(Stats!M:M,Stats!H:H,A27),_xlfn.MAXIFS(Stats!K:K,Stats!F:F,A27),_xlfn.MAXIFS(Stats!M:M,Stats!H:H,A27))</f>
        <v>414</v>
      </c>
      <c r="AN27">
        <f>IF(_xlfn.MINIFS(Stats!M:M,Stats!H:H,A27)&lt;_xlfn.MINIFS(Stats!K:K,Stats!F:F,A27),_xlfn.MINIFS(Stats!M:M,Stats!H:H,A27),_xlfn.MINIFS(Stats!K:K,Stats!F:F,A27))</f>
        <v>47</v>
      </c>
      <c r="AO27">
        <f>SUMIFS(Stats!K:K,Stats!F:F,A27)/D27</f>
        <v>295.83333333333331</v>
      </c>
      <c r="AP27">
        <f>SUMIFS(Stats!M:M,Stats!F:F,A27)/D27</f>
        <v>263.83333333333331</v>
      </c>
      <c r="AQ27">
        <f t="shared" si="14"/>
        <v>32</v>
      </c>
      <c r="AR27">
        <f>SUMIFS(Stats!M:M,Stats!H:H,A27)/E27</f>
        <v>313.63636363636363</v>
      </c>
      <c r="AS27">
        <f>SUMIFS(Stats!K:K,Stats!H:H,A27)/E27</f>
        <v>345.54545454545456</v>
      </c>
      <c r="AT27">
        <f t="shared" si="15"/>
        <v>-31.909090909090935</v>
      </c>
      <c r="AU27">
        <f>(SUMIFS(Stats!I:I,Stats!E:E,"H",Stats!F:F,A27)+SUMIFS(Stats!J:J,Stats!H:H,A27,Stats!G:G,"H"))/(F27+G27)</f>
        <v>19.125</v>
      </c>
      <c r="AV27">
        <f>(SUMIFS(Stats!K:K,Stats!F:F,A27,Stats!E:E,"H")+SUMIFS(Stats!M:M,Stats!G:G,"H",Stats!H:H,A27))/(F27+G27)</f>
        <v>310.125</v>
      </c>
      <c r="AW27">
        <f>(SUMIFS(Stats!I:I,Stats!E:E,"V",Stats!F:F,A27)+SUMIFS(Stats!J:J,Stats!H:H,A27,Stats!G:G,"V"))/(H27+I27)</f>
        <v>17.555555555555557</v>
      </c>
      <c r="AX27">
        <f>(SUMIFS(Stats!K:K,Stats!F:F,A27,Stats!E:E,"V")+SUMIFS(Stats!M:M,Stats!G:G,"V",Stats!H:H,A27))/(H27+I27)</f>
        <v>304.88888888888891</v>
      </c>
    </row>
    <row r="28" spans="1:50">
      <c r="A28" t="s">
        <v>45</v>
      </c>
      <c r="B28" t="s">
        <v>123</v>
      </c>
      <c r="C28" t="s">
        <v>127</v>
      </c>
      <c r="D28">
        <f>COUNTIF(Stats!F:F,A28)</f>
        <v>13</v>
      </c>
      <c r="E28">
        <f>COUNTIF(Stats!H:H,A28)</f>
        <v>5</v>
      </c>
      <c r="F28">
        <f>COUNTIFS(Stats!F:F,A28,Stats!E:E,"H")</f>
        <v>8</v>
      </c>
      <c r="G28">
        <f>COUNTIFS(Stats!H:H,A28,Stats!G:G,"H")</f>
        <v>1</v>
      </c>
      <c r="H28">
        <f t="shared" si="0"/>
        <v>5</v>
      </c>
      <c r="I28">
        <f t="shared" si="0"/>
        <v>4</v>
      </c>
      <c r="J28">
        <f>SUMIFS(Stats!I:I,Stats!F:F,A28)+SUMIFS(Stats!J:J,Stats!H:H,A28)</f>
        <v>460</v>
      </c>
      <c r="K28">
        <f t="shared" si="1"/>
        <v>25.555555555555557</v>
      </c>
      <c r="L28">
        <f>SUMIFS(Stats!I:I,Stats!H:H,A28)+SUMIFS(Stats!J:J,Stats!F:F,A28)</f>
        <v>384</v>
      </c>
      <c r="M28">
        <f t="shared" si="2"/>
        <v>21.333333333333332</v>
      </c>
      <c r="N28">
        <f t="shared" si="3"/>
        <v>76</v>
      </c>
      <c r="O28">
        <f t="shared" si="4"/>
        <v>4.2222222222222223</v>
      </c>
      <c r="P28">
        <f>SUMIFS(Stats!K:K,Stats!F:F,A28)+SUMIFS(Stats!M:M,Stats!H:H,A28)</f>
        <v>6478</v>
      </c>
      <c r="Q28">
        <f>SUMIFS(Stats!K:K,Stats!H:H,A28)+SUMIFS(Stats!M:M,Stats!F:F,A28)</f>
        <v>5791</v>
      </c>
      <c r="R28">
        <f t="shared" si="5"/>
        <v>359.88888888888891</v>
      </c>
      <c r="S28">
        <f t="shared" si="6"/>
        <v>321.72222222222223</v>
      </c>
      <c r="T28">
        <f t="shared" si="7"/>
        <v>687</v>
      </c>
      <c r="U28">
        <f>SUMIFS(Stats!I:I,Stats!F:F,A28)</f>
        <v>379</v>
      </c>
      <c r="V28">
        <f t="shared" si="8"/>
        <v>29.153846153846153</v>
      </c>
      <c r="W28">
        <f>SUMIFS(Stats!J:J,Stats!F:F,A28)</f>
        <v>249</v>
      </c>
      <c r="X28">
        <f t="shared" si="9"/>
        <v>19.153846153846153</v>
      </c>
      <c r="Y28">
        <f t="shared" si="10"/>
        <v>130</v>
      </c>
      <c r="Z28">
        <f t="shared" si="10"/>
        <v>10</v>
      </c>
      <c r="AA28">
        <f>SUMIFS(Stats!J:J,Stats!H:H,A28)</f>
        <v>81</v>
      </c>
      <c r="AB28">
        <f t="shared" si="11"/>
        <v>16.2</v>
      </c>
      <c r="AC28">
        <f>SUMIFS(Stats!I:I,Stats!H:H,A28)</f>
        <v>135</v>
      </c>
      <c r="AD28">
        <f t="shared" si="12"/>
        <v>27</v>
      </c>
      <c r="AE28">
        <f t="shared" si="13"/>
        <v>-54</v>
      </c>
      <c r="AF28">
        <f t="shared" si="13"/>
        <v>-10.8</v>
      </c>
      <c r="AG28">
        <f>_xlfn.MINIFS(Stats!O:O,Stats!F:F,A28)</f>
        <v>1</v>
      </c>
      <c r="AH28">
        <f>-_xlfn.MINIFS(Stats!O:O,Stats!H:H,A28)</f>
        <v>-3</v>
      </c>
      <c r="AI28">
        <f>_xlfn.MAXIFS(Stats!O:O,Stats!F:F,A28)</f>
        <v>27</v>
      </c>
      <c r="AJ28">
        <f>-_xlfn.MAXIFS(Stats!O:O,Stats!H:H,A28)</f>
        <v>-35</v>
      </c>
      <c r="AK28">
        <f>_xlfn.MAXIFS(Stats!I:I,Stats!F:F,A28)</f>
        <v>45</v>
      </c>
      <c r="AL28">
        <f>IF(_xlfn.MINIFS(Stats!I:I,Stats!F:F,A28)&lt;_xlfn.MINIFS(Stats!J:J,Stats!H:H,A28),_xlfn.MINIFS(Stats!I:I,Stats!F:F,A28),_xlfn.MINIFS(Stats!J:J,Stats!H:H,A28))</f>
        <v>3</v>
      </c>
      <c r="AM28">
        <f>IF(_xlfn.MAXIFS(Stats!K:K,Stats!F:F,A28)&gt;_xlfn.MAXIFS(Stats!M:M,Stats!H:H,A28),_xlfn.MAXIFS(Stats!K:K,Stats!F:F,A28),_xlfn.MAXIFS(Stats!M:M,Stats!H:H,A28))</f>
        <v>481</v>
      </c>
      <c r="AN28">
        <f>IF(_xlfn.MINIFS(Stats!M:M,Stats!H:H,A28)&lt;_xlfn.MINIFS(Stats!K:K,Stats!F:F,A28),_xlfn.MINIFS(Stats!M:M,Stats!H:H,A28),_xlfn.MINIFS(Stats!K:K,Stats!F:F,A28))</f>
        <v>229</v>
      </c>
      <c r="AO28">
        <f>SUMIFS(Stats!K:K,Stats!F:F,A28)/D28</f>
        <v>372.30769230769232</v>
      </c>
      <c r="AP28">
        <f>SUMIFS(Stats!M:M,Stats!F:F,A28)/D28</f>
        <v>323.69230769230768</v>
      </c>
      <c r="AQ28">
        <f t="shared" si="14"/>
        <v>48.615384615384642</v>
      </c>
      <c r="AR28">
        <f>SUMIFS(Stats!M:M,Stats!H:H,A28)/E28</f>
        <v>327.60000000000002</v>
      </c>
      <c r="AS28">
        <f>SUMIFS(Stats!K:K,Stats!H:H,A28)/E28</f>
        <v>316.60000000000002</v>
      </c>
      <c r="AT28">
        <f t="shared" si="15"/>
        <v>11</v>
      </c>
      <c r="AU28">
        <f>(SUMIFS(Stats!I:I,Stats!E:E,"H",Stats!F:F,A28)+SUMIFS(Stats!J:J,Stats!H:H,A28,Stats!G:G,"H"))/(F28+G28)</f>
        <v>28.333333333333332</v>
      </c>
      <c r="AV28">
        <f>(SUMIFS(Stats!K:K,Stats!F:F,A28,Stats!E:E,"H")+SUMIFS(Stats!M:M,Stats!G:G,"H",Stats!H:H,A28))/(F28+G28)</f>
        <v>364.44444444444446</v>
      </c>
      <c r="AW28">
        <f>(SUMIFS(Stats!I:I,Stats!E:E,"V",Stats!F:F,A28)+SUMIFS(Stats!J:J,Stats!H:H,A28,Stats!G:G,"V"))/(H28+I28)</f>
        <v>22.777777777777779</v>
      </c>
      <c r="AX28">
        <f>(SUMIFS(Stats!K:K,Stats!F:F,A28,Stats!E:E,"V")+SUMIFS(Stats!M:M,Stats!G:G,"V",Stats!H:H,A28))/(H28+I28)</f>
        <v>355.33333333333331</v>
      </c>
    </row>
    <row r="29" spans="1:50">
      <c r="A29" t="s">
        <v>28</v>
      </c>
      <c r="B29" t="s">
        <v>123</v>
      </c>
      <c r="C29" t="s">
        <v>127</v>
      </c>
      <c r="D29">
        <f>COUNTIF(Stats!F:F,A29)</f>
        <v>8</v>
      </c>
      <c r="E29">
        <f>COUNTIF(Stats!H:H,A29)</f>
        <v>9</v>
      </c>
      <c r="F29">
        <f>COUNTIFS(Stats!F:F,A29,Stats!E:E,"H")</f>
        <v>5</v>
      </c>
      <c r="G29">
        <f>COUNTIFS(Stats!H:H,A29,Stats!G:G,"H")</f>
        <v>3</v>
      </c>
      <c r="H29">
        <f t="shared" si="0"/>
        <v>3</v>
      </c>
      <c r="I29">
        <f t="shared" si="0"/>
        <v>6</v>
      </c>
      <c r="J29">
        <f>SUMIFS(Stats!I:I,Stats!F:F,A29)+SUMIFS(Stats!J:J,Stats!H:H,A29)</f>
        <v>425</v>
      </c>
      <c r="K29">
        <f t="shared" si="1"/>
        <v>25</v>
      </c>
      <c r="L29">
        <f>SUMIFS(Stats!I:I,Stats!H:H,A29)+SUMIFS(Stats!J:J,Stats!F:F,A29)</f>
        <v>426</v>
      </c>
      <c r="M29">
        <f t="shared" si="2"/>
        <v>25.058823529411764</v>
      </c>
      <c r="N29">
        <f t="shared" si="3"/>
        <v>-1</v>
      </c>
      <c r="O29">
        <f t="shared" si="4"/>
        <v>-5.8823529411764705E-2</v>
      </c>
      <c r="P29">
        <f>SUMIFS(Stats!K:K,Stats!F:F,A29)+SUMIFS(Stats!M:M,Stats!H:H,A29)</f>
        <v>6168</v>
      </c>
      <c r="Q29">
        <f>SUMIFS(Stats!K:K,Stats!H:H,A29)+SUMIFS(Stats!M:M,Stats!F:F,A29)</f>
        <v>6522</v>
      </c>
      <c r="R29">
        <f t="shared" si="5"/>
        <v>362.8235294117647</v>
      </c>
      <c r="S29">
        <f t="shared" si="6"/>
        <v>383.64705882352939</v>
      </c>
      <c r="T29">
        <f t="shared" si="7"/>
        <v>-354</v>
      </c>
      <c r="U29">
        <f>SUMIFS(Stats!I:I,Stats!F:F,A29)</f>
        <v>228</v>
      </c>
      <c r="V29">
        <f t="shared" si="8"/>
        <v>28.5</v>
      </c>
      <c r="W29">
        <f>SUMIFS(Stats!J:J,Stats!F:F,A29)</f>
        <v>167</v>
      </c>
      <c r="X29">
        <f t="shared" si="9"/>
        <v>20.875</v>
      </c>
      <c r="Y29">
        <f t="shared" si="10"/>
        <v>61</v>
      </c>
      <c r="Z29">
        <f t="shared" si="10"/>
        <v>7.625</v>
      </c>
      <c r="AA29">
        <f>SUMIFS(Stats!J:J,Stats!H:H,A29)</f>
        <v>197</v>
      </c>
      <c r="AB29">
        <f t="shared" si="11"/>
        <v>21.888888888888889</v>
      </c>
      <c r="AC29">
        <f>SUMIFS(Stats!I:I,Stats!H:H,A29)</f>
        <v>259</v>
      </c>
      <c r="AD29">
        <f t="shared" si="12"/>
        <v>28.777777777777779</v>
      </c>
      <c r="AE29">
        <f t="shared" si="13"/>
        <v>-62</v>
      </c>
      <c r="AF29">
        <f t="shared" si="13"/>
        <v>-6.8888888888888893</v>
      </c>
      <c r="AG29">
        <f>_xlfn.MINIFS(Stats!O:O,Stats!F:F,A29)</f>
        <v>2</v>
      </c>
      <c r="AH29">
        <f>-_xlfn.MINIFS(Stats!O:O,Stats!H:H,A29)</f>
        <v>-1</v>
      </c>
      <c r="AI29">
        <f>_xlfn.MAXIFS(Stats!O:O,Stats!F:F,A29)</f>
        <v>14</v>
      </c>
      <c r="AJ29">
        <f>-_xlfn.MAXIFS(Stats!O:O,Stats!H:H,A29)</f>
        <v>-27</v>
      </c>
      <c r="AK29">
        <f>_xlfn.MAXIFS(Stats!I:I,Stats!F:F,A29)</f>
        <v>36</v>
      </c>
      <c r="AL29">
        <f>IF(_xlfn.MINIFS(Stats!I:I,Stats!F:F,A29)&lt;_xlfn.MINIFS(Stats!J:J,Stats!H:H,A29),_xlfn.MINIFS(Stats!I:I,Stats!F:F,A29),_xlfn.MINIFS(Stats!J:J,Stats!H:H,A29))</f>
        <v>7</v>
      </c>
      <c r="AM29">
        <f>IF(_xlfn.MAXIFS(Stats!K:K,Stats!F:F,A29)&gt;_xlfn.MAXIFS(Stats!M:M,Stats!H:H,A29),_xlfn.MAXIFS(Stats!K:K,Stats!F:F,A29),_xlfn.MAXIFS(Stats!M:M,Stats!H:H,A29))</f>
        <v>571</v>
      </c>
      <c r="AN29">
        <f>IF(_xlfn.MINIFS(Stats!M:M,Stats!H:H,A29)&lt;_xlfn.MINIFS(Stats!K:K,Stats!F:F,A29),_xlfn.MINIFS(Stats!M:M,Stats!H:H,A29),_xlfn.MINIFS(Stats!K:K,Stats!F:F,A29))</f>
        <v>193</v>
      </c>
      <c r="AO29">
        <f>SUMIFS(Stats!K:K,Stats!F:F,A29)/D29</f>
        <v>397.375</v>
      </c>
      <c r="AP29">
        <f>SUMIFS(Stats!M:M,Stats!F:F,A29)/D29</f>
        <v>350.5</v>
      </c>
      <c r="AQ29">
        <f t="shared" si="14"/>
        <v>46.875</v>
      </c>
      <c r="AR29">
        <f>SUMIFS(Stats!M:M,Stats!H:H,A29)/E29</f>
        <v>332.11111111111109</v>
      </c>
      <c r="AS29">
        <f>SUMIFS(Stats!K:K,Stats!H:H,A29)/E29</f>
        <v>413.11111111111109</v>
      </c>
      <c r="AT29">
        <f t="shared" si="15"/>
        <v>-81</v>
      </c>
      <c r="AU29">
        <f>(SUMIFS(Stats!I:I,Stats!E:E,"H",Stats!F:F,A29)+SUMIFS(Stats!J:J,Stats!H:H,A29,Stats!G:G,"H"))/(F29+G29)</f>
        <v>24.5</v>
      </c>
      <c r="AV29">
        <f>(SUMIFS(Stats!K:K,Stats!F:F,A29,Stats!E:E,"H")+SUMIFS(Stats!M:M,Stats!G:G,"H",Stats!H:H,A29))/(F29+G29)</f>
        <v>366</v>
      </c>
      <c r="AW29">
        <f>(SUMIFS(Stats!I:I,Stats!E:E,"V",Stats!F:F,A29)+SUMIFS(Stats!J:J,Stats!H:H,A29,Stats!G:G,"V"))/(H29+I29)</f>
        <v>25.444444444444443</v>
      </c>
      <c r="AX29">
        <f>(SUMIFS(Stats!K:K,Stats!F:F,A29,Stats!E:E,"V")+SUMIFS(Stats!M:M,Stats!G:G,"V",Stats!H:H,A29))/(H29+I29)</f>
        <v>360</v>
      </c>
    </row>
    <row r="30" spans="1:50">
      <c r="A30" t="s">
        <v>34</v>
      </c>
      <c r="B30" t="s">
        <v>123</v>
      </c>
      <c r="C30" t="s">
        <v>127</v>
      </c>
      <c r="D30">
        <f>COUNTIF(Stats!F:F,A30)</f>
        <v>3</v>
      </c>
      <c r="E30">
        <f>COUNTIF(Stats!H:H,A30)</f>
        <v>14</v>
      </c>
      <c r="F30">
        <f>COUNTIFS(Stats!F:F,A30,Stats!E:E,"H")</f>
        <v>3</v>
      </c>
      <c r="G30">
        <f>COUNTIFS(Stats!H:H,A30,Stats!G:G,"H")</f>
        <v>5</v>
      </c>
      <c r="H30">
        <f t="shared" si="0"/>
        <v>0</v>
      </c>
      <c r="I30">
        <f t="shared" si="0"/>
        <v>9</v>
      </c>
      <c r="J30">
        <f>SUMIFS(Stats!I:I,Stats!F:F,A30)+SUMIFS(Stats!J:J,Stats!H:H,A30)</f>
        <v>325</v>
      </c>
      <c r="K30">
        <f t="shared" si="1"/>
        <v>19.117647058823529</v>
      </c>
      <c r="L30">
        <f>SUMIFS(Stats!I:I,Stats!H:H,A30)+SUMIFS(Stats!J:J,Stats!F:F,A30)</f>
        <v>467</v>
      </c>
      <c r="M30">
        <f t="shared" si="2"/>
        <v>27.470588235294116</v>
      </c>
      <c r="N30">
        <f t="shared" si="3"/>
        <v>-142</v>
      </c>
      <c r="O30">
        <f t="shared" si="4"/>
        <v>-8.3529411764705888</v>
      </c>
      <c r="P30">
        <f>SUMIFS(Stats!K:K,Stats!F:F,A30)+SUMIFS(Stats!M:M,Stats!H:H,A30)</f>
        <v>5484</v>
      </c>
      <c r="Q30">
        <f>SUMIFS(Stats!K:K,Stats!H:H,A30)+SUMIFS(Stats!M:M,Stats!F:F,A30)</f>
        <v>6456</v>
      </c>
      <c r="R30">
        <f t="shared" si="5"/>
        <v>322.58823529411762</v>
      </c>
      <c r="S30">
        <f t="shared" si="6"/>
        <v>379.76470588235293</v>
      </c>
      <c r="T30">
        <f t="shared" si="7"/>
        <v>-972</v>
      </c>
      <c r="U30">
        <f>SUMIFS(Stats!I:I,Stats!F:F,A30)</f>
        <v>96</v>
      </c>
      <c r="V30">
        <f t="shared" si="8"/>
        <v>32</v>
      </c>
      <c r="W30">
        <f>SUMIFS(Stats!J:J,Stats!F:F,A30)</f>
        <v>69</v>
      </c>
      <c r="X30">
        <f t="shared" si="9"/>
        <v>23</v>
      </c>
      <c r="Y30">
        <f t="shared" si="10"/>
        <v>27</v>
      </c>
      <c r="Z30">
        <f t="shared" si="10"/>
        <v>9</v>
      </c>
      <c r="AA30">
        <f>SUMIFS(Stats!J:J,Stats!H:H,A30)</f>
        <v>229</v>
      </c>
      <c r="AB30">
        <f t="shared" si="11"/>
        <v>16.357142857142858</v>
      </c>
      <c r="AC30">
        <f>SUMIFS(Stats!I:I,Stats!H:H,A30)</f>
        <v>398</v>
      </c>
      <c r="AD30">
        <f t="shared" si="12"/>
        <v>28.428571428571427</v>
      </c>
      <c r="AE30">
        <f t="shared" si="13"/>
        <v>-169</v>
      </c>
      <c r="AF30">
        <f t="shared" si="13"/>
        <v>-12.071428571428569</v>
      </c>
      <c r="AG30">
        <f>_xlfn.MINIFS(Stats!O:O,Stats!F:F,A30)</f>
        <v>2</v>
      </c>
      <c r="AH30">
        <f>-_xlfn.MINIFS(Stats!O:O,Stats!H:H,A30)</f>
        <v>-2</v>
      </c>
      <c r="AI30">
        <f>_xlfn.MAXIFS(Stats!O:O,Stats!F:F,A30)</f>
        <v>18</v>
      </c>
      <c r="AJ30">
        <f>-_xlfn.MAXIFS(Stats!O:O,Stats!H:H,A30)</f>
        <v>-38</v>
      </c>
      <c r="AK30">
        <f>_xlfn.MAXIFS(Stats!I:I,Stats!F:F,A30)</f>
        <v>37</v>
      </c>
      <c r="AL30">
        <f>IF(_xlfn.MINIFS(Stats!I:I,Stats!F:F,A30)&lt;_xlfn.MINIFS(Stats!J:J,Stats!H:H,A30),_xlfn.MINIFS(Stats!I:I,Stats!F:F,A30),_xlfn.MINIFS(Stats!J:J,Stats!H:H,A30))</f>
        <v>6</v>
      </c>
      <c r="AM30">
        <f>IF(_xlfn.MAXIFS(Stats!K:K,Stats!F:F,A30)&gt;_xlfn.MAXIFS(Stats!M:M,Stats!H:H,A30),_xlfn.MAXIFS(Stats!K:K,Stats!F:F,A30),_xlfn.MAXIFS(Stats!M:M,Stats!H:H,A30))</f>
        <v>430</v>
      </c>
      <c r="AN30">
        <f>IF(_xlfn.MINIFS(Stats!M:M,Stats!H:H,A30)&lt;_xlfn.MINIFS(Stats!K:K,Stats!F:F,A30),_xlfn.MINIFS(Stats!M:M,Stats!H:H,A30),_xlfn.MINIFS(Stats!K:K,Stats!F:F,A30))</f>
        <v>228</v>
      </c>
      <c r="AO30">
        <f>SUMIFS(Stats!K:K,Stats!F:F,A30)/D30</f>
        <v>371.33333333333331</v>
      </c>
      <c r="AP30">
        <f>SUMIFS(Stats!M:M,Stats!F:F,A30)/D30</f>
        <v>400.66666666666669</v>
      </c>
      <c r="AQ30">
        <f t="shared" si="14"/>
        <v>-29.333333333333371</v>
      </c>
      <c r="AR30">
        <f>SUMIFS(Stats!M:M,Stats!H:H,A30)/E30</f>
        <v>312.14285714285717</v>
      </c>
      <c r="AS30">
        <f>SUMIFS(Stats!K:K,Stats!H:H,A30)/E30</f>
        <v>375.28571428571428</v>
      </c>
      <c r="AT30">
        <f t="shared" si="15"/>
        <v>-63.14285714285711</v>
      </c>
      <c r="AU30">
        <f>(SUMIFS(Stats!I:I,Stats!E:E,"H",Stats!F:F,A30)+SUMIFS(Stats!J:J,Stats!H:H,A30,Stats!G:G,"H"))/(F30+G30)</f>
        <v>22.125</v>
      </c>
      <c r="AV30">
        <f>(SUMIFS(Stats!K:K,Stats!F:F,A30,Stats!E:E,"H")+SUMIFS(Stats!M:M,Stats!G:G,"H",Stats!H:H,A30))/(F30+G30)</f>
        <v>315.5</v>
      </c>
      <c r="AW30">
        <f>(SUMIFS(Stats!I:I,Stats!E:E,"V",Stats!F:F,A30)+SUMIFS(Stats!J:J,Stats!H:H,A30,Stats!G:G,"V"))/(H30+I30)</f>
        <v>16.444444444444443</v>
      </c>
      <c r="AX30">
        <f>(SUMIFS(Stats!K:K,Stats!F:F,A30,Stats!E:E,"V")+SUMIFS(Stats!M:M,Stats!G:G,"V",Stats!H:H,A30))/(H30+I30)</f>
        <v>328.88888888888891</v>
      </c>
    </row>
    <row r="31" spans="1:50">
      <c r="N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8"/>
      <c r="AC31" s="15"/>
      <c r="AD31" s="18"/>
      <c r="AE31" s="15"/>
      <c r="AF31" s="18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</row>
    <row r="32" spans="1:50">
      <c r="A32" t="s">
        <v>16</v>
      </c>
      <c r="B32" t="s">
        <v>123</v>
      </c>
      <c r="C32" t="s">
        <v>124</v>
      </c>
      <c r="D32">
        <f>COUNTIF(Stats!F:F,A32)</f>
        <v>14</v>
      </c>
      <c r="E32">
        <f>COUNTIF(Stats!H:H,A32)</f>
        <v>5</v>
      </c>
      <c r="F32">
        <f>COUNTIFS(Stats!F:F,A32,Stats!E:E,"H")</f>
        <v>8</v>
      </c>
      <c r="G32">
        <f>COUNTIFS(Stats!H:H,A32,Stats!G:G,"H")</f>
        <v>2</v>
      </c>
      <c r="H32">
        <f t="shared" si="0"/>
        <v>6</v>
      </c>
      <c r="I32">
        <f t="shared" si="0"/>
        <v>3</v>
      </c>
      <c r="J32">
        <f>SUMIFS(Stats!I:I,Stats!F:F,A32)+SUMIFS(Stats!J:J,Stats!H:H,A32)</f>
        <v>569</v>
      </c>
      <c r="K32">
        <f t="shared" si="1"/>
        <v>29.94736842105263</v>
      </c>
      <c r="L32">
        <f>SUMIFS(Stats!I:I,Stats!H:H,A32)+SUMIFS(Stats!J:J,Stats!F:F,A32)</f>
        <v>398</v>
      </c>
      <c r="M32">
        <f t="shared" si="2"/>
        <v>20.94736842105263</v>
      </c>
      <c r="N32">
        <f t="shared" si="3"/>
        <v>171</v>
      </c>
      <c r="O32">
        <f t="shared" si="4"/>
        <v>9</v>
      </c>
      <c r="P32">
        <f>SUMIFS(Stats!K:K,Stats!F:F,A32)+SUMIFS(Stats!M:M,Stats!H:H,A32)</f>
        <v>7609</v>
      </c>
      <c r="Q32">
        <f>SUMIFS(Stats!K:K,Stats!H:H,A32)+SUMIFS(Stats!M:M,Stats!F:F,A32)</f>
        <v>6402</v>
      </c>
      <c r="R32">
        <f t="shared" si="5"/>
        <v>400.4736842105263</v>
      </c>
      <c r="S32">
        <f t="shared" si="6"/>
        <v>336.94736842105266</v>
      </c>
      <c r="T32">
        <f t="shared" si="7"/>
        <v>1207</v>
      </c>
      <c r="U32">
        <f>SUMIFS(Stats!I:I,Stats!F:F,A32)</f>
        <v>472</v>
      </c>
      <c r="V32">
        <f t="shared" si="8"/>
        <v>33.714285714285715</v>
      </c>
      <c r="W32">
        <f>SUMIFS(Stats!J:J,Stats!F:F,A32)</f>
        <v>260</v>
      </c>
      <c r="X32">
        <f t="shared" si="9"/>
        <v>18.571428571428573</v>
      </c>
      <c r="Y32">
        <f t="shared" si="10"/>
        <v>212</v>
      </c>
      <c r="Z32">
        <f t="shared" si="10"/>
        <v>15.142857142857142</v>
      </c>
      <c r="AA32">
        <f>SUMIFS(Stats!J:J,Stats!H:H,A32)</f>
        <v>97</v>
      </c>
      <c r="AB32">
        <f t="shared" si="11"/>
        <v>19.399999999999999</v>
      </c>
      <c r="AC32">
        <f>SUMIFS(Stats!I:I,Stats!H:H,A32)</f>
        <v>138</v>
      </c>
      <c r="AD32">
        <f t="shared" si="12"/>
        <v>27.6</v>
      </c>
      <c r="AE32">
        <f t="shared" si="13"/>
        <v>-41</v>
      </c>
      <c r="AF32">
        <f t="shared" si="13"/>
        <v>-8.2000000000000028</v>
      </c>
      <c r="AG32">
        <f>_xlfn.MINIFS(Stats!O:O,Stats!F:F,A32)</f>
        <v>2</v>
      </c>
      <c r="AH32">
        <f>-_xlfn.MINIFS(Stats!O:O,Stats!H:H,A32)</f>
        <v>-3</v>
      </c>
      <c r="AI32">
        <f>_xlfn.MAXIFS(Stats!O:O,Stats!F:F,A32)</f>
        <v>35</v>
      </c>
      <c r="AJ32">
        <f>-_xlfn.MAXIFS(Stats!O:O,Stats!H:H,A32)</f>
        <v>-10</v>
      </c>
      <c r="AK32">
        <f>_xlfn.MAXIFS(Stats!I:I,Stats!F:F,A32)</f>
        <v>48</v>
      </c>
      <c r="AL32">
        <f>IF(_xlfn.MINIFS(Stats!I:I,Stats!F:F,A32)&lt;_xlfn.MINIFS(Stats!J:J,Stats!H:H,A32),_xlfn.MINIFS(Stats!I:I,Stats!F:F,A32),_xlfn.MINIFS(Stats!J:J,Stats!H:H,A32))</f>
        <v>0</v>
      </c>
      <c r="AM32">
        <f>IF(_xlfn.MAXIFS(Stats!K:K,Stats!F:F,A32)&gt;_xlfn.MAXIFS(Stats!M:M,Stats!H:H,A32),_xlfn.MAXIFS(Stats!K:K,Stats!F:F,A32),_xlfn.MAXIFS(Stats!M:M,Stats!H:H,A32))</f>
        <v>558</v>
      </c>
      <c r="AN32">
        <f>IF(_xlfn.MINIFS(Stats!M:M,Stats!H:H,A32)&lt;_xlfn.MINIFS(Stats!K:K,Stats!F:F,A32),_xlfn.MINIFS(Stats!M:M,Stats!H:H,A32),_xlfn.MINIFS(Stats!K:K,Stats!F:F,A32))</f>
        <v>273</v>
      </c>
      <c r="AO32">
        <f>SUMIFS(Stats!K:K,Stats!F:F,A32)/D32</f>
        <v>414.85714285714283</v>
      </c>
      <c r="AP32">
        <f>SUMIFS(Stats!M:M,Stats!F:F,A32)/D32</f>
        <v>333.85714285714283</v>
      </c>
      <c r="AQ32">
        <f t="shared" si="14"/>
        <v>81</v>
      </c>
      <c r="AR32">
        <f>SUMIFS(Stats!M:M,Stats!H:H,A32)/E32</f>
        <v>360.2</v>
      </c>
      <c r="AS32">
        <f>SUMIFS(Stats!K:K,Stats!H:H,A32)/E32</f>
        <v>345.6</v>
      </c>
      <c r="AT32">
        <f t="shared" si="15"/>
        <v>14.599999999999966</v>
      </c>
      <c r="AU32">
        <f>(SUMIFS(Stats!I:I,Stats!E:E,"H",Stats!F:F,A32)+SUMIFS(Stats!J:J,Stats!H:H,A32,Stats!G:G,"H"))/(F32+G32)</f>
        <v>32.4</v>
      </c>
      <c r="AV32">
        <f>(SUMIFS(Stats!K:K,Stats!F:F,A32,Stats!E:E,"H")+SUMIFS(Stats!M:M,Stats!G:G,"H",Stats!H:H,A32))/(F32+G32)</f>
        <v>404.7</v>
      </c>
      <c r="AW32">
        <f>(SUMIFS(Stats!I:I,Stats!E:E,"V",Stats!F:F,A32)+SUMIFS(Stats!J:J,Stats!H:H,A32,Stats!G:G,"V"))/(H32+I32)</f>
        <v>27.222222222222221</v>
      </c>
      <c r="AX32">
        <f>(SUMIFS(Stats!K:K,Stats!F:F,A32,Stats!E:E,"V")+SUMIFS(Stats!M:M,Stats!G:G,"V",Stats!H:H,A32))/(H32+I32)</f>
        <v>395.77777777777777</v>
      </c>
    </row>
    <row r="33" spans="1:50">
      <c r="A33" t="s">
        <v>25</v>
      </c>
      <c r="B33" t="s">
        <v>123</v>
      </c>
      <c r="C33" t="s">
        <v>124</v>
      </c>
      <c r="D33">
        <f>COUNTIF(Stats!F:F,A33)</f>
        <v>5</v>
      </c>
      <c r="E33">
        <f>COUNTIF(Stats!H:H,A33)</f>
        <v>12</v>
      </c>
      <c r="F33">
        <f>COUNTIFS(Stats!F:F,A33,Stats!E:E,"H")</f>
        <v>2</v>
      </c>
      <c r="G33">
        <f>COUNTIFS(Stats!H:H,A33,Stats!G:G,"H")</f>
        <v>6</v>
      </c>
      <c r="H33">
        <f t="shared" si="0"/>
        <v>3</v>
      </c>
      <c r="I33">
        <f t="shared" si="0"/>
        <v>6</v>
      </c>
      <c r="J33">
        <f>SUMIFS(Stats!I:I,Stats!F:F,A33)+SUMIFS(Stats!J:J,Stats!H:H,A33)</f>
        <v>304</v>
      </c>
      <c r="K33">
        <f t="shared" si="1"/>
        <v>17.882352941176471</v>
      </c>
      <c r="L33">
        <f>SUMIFS(Stats!I:I,Stats!H:H,A33)+SUMIFS(Stats!J:J,Stats!F:F,A33)</f>
        <v>404</v>
      </c>
      <c r="M33">
        <f t="shared" si="2"/>
        <v>23.764705882352942</v>
      </c>
      <c r="N33">
        <f t="shared" si="3"/>
        <v>-100</v>
      </c>
      <c r="O33">
        <f t="shared" si="4"/>
        <v>-5.882352941176471</v>
      </c>
      <c r="P33">
        <f>SUMIFS(Stats!K:K,Stats!F:F,A33)+SUMIFS(Stats!M:M,Stats!H:H,A33)</f>
        <v>5081</v>
      </c>
      <c r="Q33">
        <f>SUMIFS(Stats!K:K,Stats!H:H,A33)+SUMIFS(Stats!M:M,Stats!F:F,A33)</f>
        <v>5201</v>
      </c>
      <c r="R33">
        <f t="shared" si="5"/>
        <v>298.88235294117646</v>
      </c>
      <c r="S33">
        <f t="shared" si="6"/>
        <v>305.94117647058823</v>
      </c>
      <c r="T33">
        <f t="shared" si="7"/>
        <v>-120</v>
      </c>
      <c r="U33">
        <f>SUMIFS(Stats!I:I,Stats!F:F,A33)</f>
        <v>122</v>
      </c>
      <c r="V33">
        <f t="shared" si="8"/>
        <v>24.4</v>
      </c>
      <c r="W33">
        <f>SUMIFS(Stats!J:J,Stats!F:F,A33)</f>
        <v>53</v>
      </c>
      <c r="X33">
        <f t="shared" si="9"/>
        <v>10.6</v>
      </c>
      <c r="Y33">
        <f t="shared" si="10"/>
        <v>69</v>
      </c>
      <c r="Z33">
        <f t="shared" si="10"/>
        <v>13.799999999999999</v>
      </c>
      <c r="AA33">
        <f>SUMIFS(Stats!J:J,Stats!H:H,A33)</f>
        <v>182</v>
      </c>
      <c r="AB33">
        <f t="shared" si="11"/>
        <v>15.166666666666666</v>
      </c>
      <c r="AC33">
        <f>SUMIFS(Stats!I:I,Stats!H:H,A33)</f>
        <v>351</v>
      </c>
      <c r="AD33">
        <f t="shared" si="12"/>
        <v>29.25</v>
      </c>
      <c r="AE33">
        <f t="shared" si="13"/>
        <v>-169</v>
      </c>
      <c r="AF33">
        <f t="shared" si="13"/>
        <v>-14.083333333333334</v>
      </c>
      <c r="AG33">
        <f>_xlfn.MINIFS(Stats!O:O,Stats!F:F,A33)</f>
        <v>5</v>
      </c>
      <c r="AH33">
        <f>-_xlfn.MINIFS(Stats!O:O,Stats!H:H,A33)</f>
        <v>-3</v>
      </c>
      <c r="AI33">
        <f>_xlfn.MAXIFS(Stats!O:O,Stats!F:F,A33)</f>
        <v>24</v>
      </c>
      <c r="AJ33">
        <f>-_xlfn.MAXIFS(Stats!O:O,Stats!H:H,A33)</f>
        <v>-26</v>
      </c>
      <c r="AK33">
        <f>_xlfn.MAXIFS(Stats!I:I,Stats!F:F,A33)</f>
        <v>34</v>
      </c>
      <c r="AL33">
        <f>IF(_xlfn.MINIFS(Stats!I:I,Stats!F:F,A33)&lt;_xlfn.MINIFS(Stats!J:J,Stats!H:H,A33),_xlfn.MINIFS(Stats!I:I,Stats!F:F,A33),_xlfn.MINIFS(Stats!J:J,Stats!H:H,A33))</f>
        <v>3</v>
      </c>
      <c r="AM33">
        <f>IF(_xlfn.MAXIFS(Stats!K:K,Stats!F:F,A33)&gt;_xlfn.MAXIFS(Stats!M:M,Stats!H:H,A33),_xlfn.MAXIFS(Stats!K:K,Stats!F:F,A33),_xlfn.MAXIFS(Stats!M:M,Stats!H:H,A33))</f>
        <v>407</v>
      </c>
      <c r="AN33">
        <f>IF(_xlfn.MINIFS(Stats!M:M,Stats!H:H,A33)&lt;_xlfn.MINIFS(Stats!K:K,Stats!F:F,A33),_xlfn.MINIFS(Stats!M:M,Stats!H:H,A33),_xlfn.MINIFS(Stats!K:K,Stats!F:F,A33))</f>
        <v>173</v>
      </c>
      <c r="AO33">
        <f>SUMIFS(Stats!K:K,Stats!F:F,A33)/D33</f>
        <v>368.8</v>
      </c>
      <c r="AP33">
        <f>SUMIFS(Stats!M:M,Stats!F:F,A33)/D33</f>
        <v>191</v>
      </c>
      <c r="AQ33">
        <f t="shared" si="14"/>
        <v>177.8</v>
      </c>
      <c r="AR33">
        <f>SUMIFS(Stats!M:M,Stats!H:H,A33)/E33</f>
        <v>269.75</v>
      </c>
      <c r="AS33">
        <f>SUMIFS(Stats!K:K,Stats!H:H,A33)/E33</f>
        <v>353.83333333333331</v>
      </c>
      <c r="AT33">
        <f t="shared" si="15"/>
        <v>-84.083333333333314</v>
      </c>
      <c r="AU33">
        <f>(SUMIFS(Stats!I:I,Stats!E:E,"H",Stats!F:F,A33)+SUMIFS(Stats!J:J,Stats!H:H,A33,Stats!G:G,"H"))/(F33+G33)</f>
        <v>18.125</v>
      </c>
      <c r="AV33">
        <f>(SUMIFS(Stats!K:K,Stats!F:F,A33,Stats!E:E,"H")+SUMIFS(Stats!M:M,Stats!G:G,"H",Stats!H:H,A33))/(F33+G33)</f>
        <v>310.125</v>
      </c>
      <c r="AW33">
        <f>(SUMIFS(Stats!I:I,Stats!E:E,"V",Stats!F:F,A33)+SUMIFS(Stats!J:J,Stats!H:H,A33,Stats!G:G,"V"))/(H33+I33)</f>
        <v>17.666666666666668</v>
      </c>
      <c r="AX33">
        <f>(SUMIFS(Stats!K:K,Stats!F:F,A33,Stats!E:E,"V")+SUMIFS(Stats!M:M,Stats!G:G,"V",Stats!H:H,A33))/(H33+I33)</f>
        <v>288.88888888888891</v>
      </c>
    </row>
    <row r="34" spans="1:50">
      <c r="A34" t="s">
        <v>44</v>
      </c>
      <c r="B34" t="s">
        <v>123</v>
      </c>
      <c r="C34" t="s">
        <v>124</v>
      </c>
      <c r="D34">
        <f>COUNTIF(Stats!F:F,A34)</f>
        <v>9</v>
      </c>
      <c r="E34">
        <f>COUNTIF(Stats!H:H,A34)</f>
        <v>8</v>
      </c>
      <c r="F34">
        <f>COUNTIFS(Stats!F:F,A34,Stats!E:E,"H")</f>
        <v>3</v>
      </c>
      <c r="G34">
        <f>COUNTIFS(Stats!H:H,A34,Stats!G:G,"H")</f>
        <v>5</v>
      </c>
      <c r="H34">
        <f t="shared" si="0"/>
        <v>6</v>
      </c>
      <c r="I34">
        <f t="shared" si="0"/>
        <v>3</v>
      </c>
      <c r="J34">
        <f>SUMIFS(Stats!I:I,Stats!F:F,A34)+SUMIFS(Stats!J:J,Stats!H:H,A34)</f>
        <v>364</v>
      </c>
      <c r="K34">
        <f t="shared" si="1"/>
        <v>21.411764705882351</v>
      </c>
      <c r="L34">
        <f>SUMIFS(Stats!I:I,Stats!H:H,A34)+SUMIFS(Stats!J:J,Stats!F:F,A34)</f>
        <v>335</v>
      </c>
      <c r="M34">
        <f t="shared" si="2"/>
        <v>19.705882352941178</v>
      </c>
      <c r="N34">
        <f t="shared" si="3"/>
        <v>29</v>
      </c>
      <c r="O34">
        <f t="shared" si="4"/>
        <v>1.7058823529411764</v>
      </c>
      <c r="P34">
        <f>SUMIFS(Stats!K:K,Stats!F:F,A34)+SUMIFS(Stats!M:M,Stats!H:H,A34)</f>
        <v>5177</v>
      </c>
      <c r="Q34">
        <f>SUMIFS(Stats!K:K,Stats!H:H,A34)+SUMIFS(Stats!M:M,Stats!F:F,A34)</f>
        <v>5410</v>
      </c>
      <c r="R34">
        <f t="shared" si="5"/>
        <v>304.52941176470586</v>
      </c>
      <c r="S34">
        <f t="shared" si="6"/>
        <v>318.23529411764707</v>
      </c>
      <c r="T34">
        <f t="shared" si="7"/>
        <v>-233</v>
      </c>
      <c r="U34">
        <f>SUMIFS(Stats!I:I,Stats!F:F,A34)</f>
        <v>235</v>
      </c>
      <c r="V34">
        <f t="shared" si="8"/>
        <v>26.111111111111111</v>
      </c>
      <c r="W34">
        <f>SUMIFS(Stats!J:J,Stats!F:F,A34)</f>
        <v>114</v>
      </c>
      <c r="X34">
        <f t="shared" si="9"/>
        <v>12.666666666666666</v>
      </c>
      <c r="Y34">
        <f t="shared" si="10"/>
        <v>121</v>
      </c>
      <c r="Z34">
        <f t="shared" si="10"/>
        <v>13.444444444444445</v>
      </c>
      <c r="AA34">
        <f>SUMIFS(Stats!J:J,Stats!H:H,A34)</f>
        <v>129</v>
      </c>
      <c r="AB34">
        <f t="shared" si="11"/>
        <v>16.125</v>
      </c>
      <c r="AC34">
        <f>SUMIFS(Stats!I:I,Stats!H:H,A34)</f>
        <v>221</v>
      </c>
      <c r="AD34">
        <f t="shared" si="12"/>
        <v>27.625</v>
      </c>
      <c r="AE34">
        <f t="shared" si="13"/>
        <v>-92</v>
      </c>
      <c r="AF34">
        <f t="shared" si="13"/>
        <v>-11.5</v>
      </c>
      <c r="AG34">
        <f>_xlfn.MINIFS(Stats!O:O,Stats!F:F,A34)</f>
        <v>3</v>
      </c>
      <c r="AH34">
        <f>-_xlfn.MINIFS(Stats!O:O,Stats!H:H,A34)</f>
        <v>-2</v>
      </c>
      <c r="AI34">
        <f>_xlfn.MAXIFS(Stats!O:O,Stats!F:F,A34)</f>
        <v>35</v>
      </c>
      <c r="AJ34">
        <f>-_xlfn.MAXIFS(Stats!O:O,Stats!H:H,A34)</f>
        <v>-25</v>
      </c>
      <c r="AK34">
        <f>_xlfn.MAXIFS(Stats!I:I,Stats!F:F,A34)</f>
        <v>38</v>
      </c>
      <c r="AL34">
        <f>IF(_xlfn.MINIFS(Stats!I:I,Stats!F:F,A34)&lt;_xlfn.MINIFS(Stats!J:J,Stats!H:H,A34),_xlfn.MINIFS(Stats!I:I,Stats!F:F,A34),_xlfn.MINIFS(Stats!J:J,Stats!H:H,A34))</f>
        <v>3</v>
      </c>
      <c r="AM34">
        <f>IF(_xlfn.MAXIFS(Stats!K:K,Stats!F:F,A34)&gt;_xlfn.MAXIFS(Stats!M:M,Stats!H:H,A34),_xlfn.MAXIFS(Stats!K:K,Stats!F:F,A34),_xlfn.MAXIFS(Stats!M:M,Stats!H:H,A34))</f>
        <v>405</v>
      </c>
      <c r="AN34">
        <f>IF(_xlfn.MINIFS(Stats!M:M,Stats!H:H,A34)&lt;_xlfn.MINIFS(Stats!K:K,Stats!F:F,A34),_xlfn.MINIFS(Stats!M:M,Stats!H:H,A34),_xlfn.MINIFS(Stats!K:K,Stats!F:F,A34))</f>
        <v>128</v>
      </c>
      <c r="AO34">
        <f>SUMIFS(Stats!K:K,Stats!F:F,A34)/D34</f>
        <v>312.55555555555554</v>
      </c>
      <c r="AP34">
        <f>SUMIFS(Stats!M:M,Stats!F:F,A34)/D34</f>
        <v>281.66666666666669</v>
      </c>
      <c r="AQ34">
        <f t="shared" si="14"/>
        <v>30.888888888888857</v>
      </c>
      <c r="AR34">
        <f>SUMIFS(Stats!M:M,Stats!H:H,A34)/E34</f>
        <v>295.5</v>
      </c>
      <c r="AS34">
        <f>SUMIFS(Stats!K:K,Stats!H:H,A34)/E34</f>
        <v>359.375</v>
      </c>
      <c r="AT34">
        <f t="shared" si="15"/>
        <v>-63.875</v>
      </c>
      <c r="AU34">
        <f>(SUMIFS(Stats!I:I,Stats!E:E,"H",Stats!F:F,A34)+SUMIFS(Stats!J:J,Stats!H:H,A34,Stats!G:G,"H"))/(F34+G34)</f>
        <v>20.5</v>
      </c>
      <c r="AV34">
        <f>(SUMIFS(Stats!K:K,Stats!F:F,A34,Stats!E:E,"H")+SUMIFS(Stats!M:M,Stats!G:G,"H",Stats!H:H,A34))/(F34+G34)</f>
        <v>312.875</v>
      </c>
      <c r="AW34">
        <f>(SUMIFS(Stats!I:I,Stats!E:E,"V",Stats!F:F,A34)+SUMIFS(Stats!J:J,Stats!H:H,A34,Stats!G:G,"V"))/(H34+I34)</f>
        <v>22.222222222222221</v>
      </c>
      <c r="AX34">
        <f>(SUMIFS(Stats!K:K,Stats!F:F,A34,Stats!E:E,"V")+SUMIFS(Stats!M:M,Stats!G:G,"V",Stats!H:H,A34))/(H34+I34)</f>
        <v>297.11111111111109</v>
      </c>
    </row>
    <row r="35" spans="1:50">
      <c r="A35" t="s">
        <v>22</v>
      </c>
      <c r="B35" t="s">
        <v>123</v>
      </c>
      <c r="C35" t="s">
        <v>124</v>
      </c>
      <c r="D35">
        <f>COUNTIF(Stats!F:F,A35)</f>
        <v>7</v>
      </c>
      <c r="E35">
        <f>COUNTIF(Stats!H:H,A35)</f>
        <v>10</v>
      </c>
      <c r="F35">
        <f>COUNTIFS(Stats!F:F,A35,Stats!E:E,"H")</f>
        <v>2</v>
      </c>
      <c r="G35">
        <f>COUNTIFS(Stats!H:H,A35,Stats!G:G,"H")</f>
        <v>6</v>
      </c>
      <c r="H35">
        <f t="shared" si="0"/>
        <v>5</v>
      </c>
      <c r="I35">
        <f t="shared" si="0"/>
        <v>4</v>
      </c>
      <c r="J35">
        <f>SUMIFS(Stats!I:I,Stats!F:F,A35)+SUMIFS(Stats!J:J,Stats!H:H,A35)</f>
        <v>313</v>
      </c>
      <c r="K35">
        <f t="shared" si="1"/>
        <v>18.411764705882351</v>
      </c>
      <c r="L35">
        <f>SUMIFS(Stats!I:I,Stats!H:H,A35)+SUMIFS(Stats!J:J,Stats!F:F,A35)</f>
        <v>459</v>
      </c>
      <c r="M35">
        <f t="shared" si="2"/>
        <v>27</v>
      </c>
      <c r="N35">
        <f t="shared" si="3"/>
        <v>-146</v>
      </c>
      <c r="O35">
        <f t="shared" si="4"/>
        <v>-8.5882352941176467</v>
      </c>
      <c r="P35">
        <f>SUMIFS(Stats!K:K,Stats!F:F,A35)+SUMIFS(Stats!M:M,Stats!H:H,A35)</f>
        <v>5164</v>
      </c>
      <c r="Q35">
        <f>SUMIFS(Stats!K:K,Stats!H:H,A35)+SUMIFS(Stats!M:M,Stats!F:F,A35)</f>
        <v>6194</v>
      </c>
      <c r="R35">
        <f t="shared" si="5"/>
        <v>303.76470588235293</v>
      </c>
      <c r="S35">
        <f t="shared" si="6"/>
        <v>364.35294117647061</v>
      </c>
      <c r="T35">
        <f t="shared" si="7"/>
        <v>-1030</v>
      </c>
      <c r="U35">
        <f>SUMIFS(Stats!I:I,Stats!F:F,A35)</f>
        <v>171</v>
      </c>
      <c r="V35">
        <f t="shared" si="8"/>
        <v>24.428571428571427</v>
      </c>
      <c r="W35">
        <f>SUMIFS(Stats!J:J,Stats!F:F,A35)</f>
        <v>138</v>
      </c>
      <c r="X35">
        <f t="shared" si="9"/>
        <v>19.714285714285715</v>
      </c>
      <c r="Y35">
        <f t="shared" si="10"/>
        <v>33</v>
      </c>
      <c r="Z35">
        <f t="shared" si="10"/>
        <v>4.7142857142857117</v>
      </c>
      <c r="AA35">
        <f>SUMIFS(Stats!J:J,Stats!H:H,A35)</f>
        <v>142</v>
      </c>
      <c r="AB35">
        <f t="shared" si="11"/>
        <v>14.2</v>
      </c>
      <c r="AC35">
        <f>SUMIFS(Stats!I:I,Stats!H:H,A35)</f>
        <v>321</v>
      </c>
      <c r="AD35">
        <f t="shared" si="12"/>
        <v>32.1</v>
      </c>
      <c r="AE35">
        <f t="shared" si="13"/>
        <v>-179</v>
      </c>
      <c r="AF35">
        <f t="shared" si="13"/>
        <v>-17.900000000000002</v>
      </c>
      <c r="AG35">
        <f>_xlfn.MINIFS(Stats!O:O,Stats!F:F,A35)</f>
        <v>2</v>
      </c>
      <c r="AH35">
        <f>-_xlfn.MINIFS(Stats!O:O,Stats!H:H,A35)</f>
        <v>-4</v>
      </c>
      <c r="AI35">
        <f>_xlfn.MAXIFS(Stats!O:O,Stats!F:F,A35)</f>
        <v>8</v>
      </c>
      <c r="AJ35">
        <f>-_xlfn.MAXIFS(Stats!O:O,Stats!H:H,A35)</f>
        <v>-40</v>
      </c>
      <c r="AK35">
        <f>_xlfn.MAXIFS(Stats!I:I,Stats!F:F,A35)</f>
        <v>30</v>
      </c>
      <c r="AL35">
        <f>IF(_xlfn.MINIFS(Stats!I:I,Stats!F:F,A35)&lt;_xlfn.MINIFS(Stats!J:J,Stats!H:H,A35),_xlfn.MINIFS(Stats!I:I,Stats!F:F,A35),_xlfn.MINIFS(Stats!J:J,Stats!H:H,A35))</f>
        <v>0</v>
      </c>
      <c r="AM35">
        <f>IF(_xlfn.MAXIFS(Stats!K:K,Stats!F:F,A35)&gt;_xlfn.MAXIFS(Stats!M:M,Stats!H:H,A35),_xlfn.MAXIFS(Stats!K:K,Stats!F:F,A35),_xlfn.MAXIFS(Stats!M:M,Stats!H:H,A35))</f>
        <v>450</v>
      </c>
      <c r="AN35">
        <f>IF(_xlfn.MINIFS(Stats!M:M,Stats!H:H,A35)&lt;_xlfn.MINIFS(Stats!K:K,Stats!F:F,A35),_xlfn.MINIFS(Stats!M:M,Stats!H:H,A35),_xlfn.MINIFS(Stats!K:K,Stats!F:F,A35))</f>
        <v>165</v>
      </c>
      <c r="AO35">
        <f>SUMIFS(Stats!K:K,Stats!F:F,A35)/D35</f>
        <v>344.71428571428572</v>
      </c>
      <c r="AP35">
        <f>SUMIFS(Stats!M:M,Stats!F:F,A35)/D35</f>
        <v>342</v>
      </c>
      <c r="AQ35">
        <f t="shared" si="14"/>
        <v>2.7142857142857224</v>
      </c>
      <c r="AR35">
        <f>SUMIFS(Stats!M:M,Stats!H:H,A35)/E35</f>
        <v>275.10000000000002</v>
      </c>
      <c r="AS35">
        <f>SUMIFS(Stats!K:K,Stats!H:H,A35)/E35</f>
        <v>380</v>
      </c>
      <c r="AT35">
        <f t="shared" si="15"/>
        <v>-104.89999999999998</v>
      </c>
      <c r="AU35">
        <f>(SUMIFS(Stats!I:I,Stats!E:E,"H",Stats!F:F,A35)+SUMIFS(Stats!J:J,Stats!H:H,A35,Stats!G:G,"H"))/(F35+G35)</f>
        <v>16.625</v>
      </c>
      <c r="AV35">
        <f>(SUMIFS(Stats!K:K,Stats!F:F,A35,Stats!E:E,"H")+SUMIFS(Stats!M:M,Stats!G:G,"H",Stats!H:H,A35))/(F35+G35)</f>
        <v>294.125</v>
      </c>
      <c r="AW35">
        <f>(SUMIFS(Stats!I:I,Stats!E:E,"V",Stats!F:F,A35)+SUMIFS(Stats!J:J,Stats!H:H,A35,Stats!G:G,"V"))/(H35+I35)</f>
        <v>20</v>
      </c>
      <c r="AX35">
        <f>(SUMIFS(Stats!K:K,Stats!F:F,A35,Stats!E:E,"V")+SUMIFS(Stats!M:M,Stats!G:G,"V",Stats!H:H,A35))/(H35+I35)</f>
        <v>312.33333333333331</v>
      </c>
    </row>
    <row r="36" spans="1:50">
      <c r="N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8"/>
      <c r="AC36" s="15"/>
      <c r="AD36" s="18"/>
      <c r="AE36" s="15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1:50">
      <c r="A37" t="s">
        <v>29</v>
      </c>
      <c r="B37" t="s">
        <v>123</v>
      </c>
      <c r="C37" t="s">
        <v>128</v>
      </c>
      <c r="D37">
        <f>COUNTIF(Stats!F:F,A37)</f>
        <v>7</v>
      </c>
      <c r="E37">
        <f>COUNTIF(Stats!H:H,A37)</f>
        <v>10</v>
      </c>
      <c r="F37">
        <f>COUNTIFS(Stats!F:F,A37,Stats!E:E,"H")</f>
        <v>3</v>
      </c>
      <c r="G37">
        <f>COUNTIFS(Stats!H:H,A37,Stats!G:G,"H")</f>
        <v>5</v>
      </c>
      <c r="H37">
        <f t="shared" si="0"/>
        <v>4</v>
      </c>
      <c r="I37">
        <f t="shared" si="0"/>
        <v>5</v>
      </c>
      <c r="J37">
        <f>SUMIFS(Stats!I:I,Stats!F:F,A37)+SUMIFS(Stats!J:J,Stats!H:H,A37)</f>
        <v>395</v>
      </c>
      <c r="K37">
        <f t="shared" si="1"/>
        <v>23.235294117647058</v>
      </c>
      <c r="L37">
        <f>SUMIFS(Stats!I:I,Stats!H:H,A37)+SUMIFS(Stats!J:J,Stats!F:F,A37)</f>
        <v>366</v>
      </c>
      <c r="M37">
        <f t="shared" si="2"/>
        <v>21.529411764705884</v>
      </c>
      <c r="N37">
        <f t="shared" si="3"/>
        <v>29</v>
      </c>
      <c r="O37">
        <f t="shared" si="4"/>
        <v>1.7058823529411764</v>
      </c>
      <c r="P37">
        <f>SUMIFS(Stats!K:K,Stats!F:F,A37)+SUMIFS(Stats!M:M,Stats!H:H,A37)</f>
        <v>5506</v>
      </c>
      <c r="Q37">
        <f>SUMIFS(Stats!K:K,Stats!H:H,A37)+SUMIFS(Stats!M:M,Stats!F:F,A37)</f>
        <v>6445</v>
      </c>
      <c r="R37">
        <f t="shared" si="5"/>
        <v>323.88235294117646</v>
      </c>
      <c r="S37">
        <f t="shared" si="6"/>
        <v>379.11764705882354</v>
      </c>
      <c r="T37">
        <f t="shared" si="7"/>
        <v>-939</v>
      </c>
      <c r="U37">
        <f>SUMIFS(Stats!I:I,Stats!F:F,A37)</f>
        <v>239</v>
      </c>
      <c r="V37">
        <f t="shared" si="8"/>
        <v>34.142857142857146</v>
      </c>
      <c r="W37">
        <f>SUMIFS(Stats!J:J,Stats!F:F,A37)</f>
        <v>139</v>
      </c>
      <c r="X37">
        <f t="shared" si="9"/>
        <v>19.857142857142858</v>
      </c>
      <c r="Y37">
        <f t="shared" si="10"/>
        <v>100</v>
      </c>
      <c r="Z37">
        <f t="shared" si="10"/>
        <v>14.285714285714288</v>
      </c>
      <c r="AA37">
        <f>SUMIFS(Stats!J:J,Stats!H:H,A37)</f>
        <v>156</v>
      </c>
      <c r="AB37">
        <f t="shared" si="11"/>
        <v>15.6</v>
      </c>
      <c r="AC37">
        <f>SUMIFS(Stats!I:I,Stats!H:H,A37)</f>
        <v>227</v>
      </c>
      <c r="AD37">
        <f t="shared" si="12"/>
        <v>22.7</v>
      </c>
      <c r="AE37">
        <f t="shared" si="13"/>
        <v>-71</v>
      </c>
      <c r="AF37">
        <f t="shared" si="13"/>
        <v>-7.1</v>
      </c>
      <c r="AG37">
        <f>_xlfn.MINIFS(Stats!O:O,Stats!F:F,A37)</f>
        <v>7</v>
      </c>
      <c r="AH37">
        <f>-_xlfn.MINIFS(Stats!O:O,Stats!H:H,A37)</f>
        <v>-1</v>
      </c>
      <c r="AI37">
        <f>_xlfn.MAXIFS(Stats!O:O,Stats!F:F,A37)</f>
        <v>24</v>
      </c>
      <c r="AJ37">
        <f>-_xlfn.MAXIFS(Stats!O:O,Stats!H:H,A37)</f>
        <v>-17</v>
      </c>
      <c r="AK37">
        <f>_xlfn.MAXIFS(Stats!I:I,Stats!F:F,A37)</f>
        <v>51</v>
      </c>
      <c r="AL37">
        <f>IF(_xlfn.MINIFS(Stats!I:I,Stats!F:F,A37)&lt;_xlfn.MINIFS(Stats!J:J,Stats!H:H,A37),_xlfn.MINIFS(Stats!I:I,Stats!F:F,A37),_xlfn.MINIFS(Stats!J:J,Stats!H:H,A37))</f>
        <v>0</v>
      </c>
      <c r="AM37">
        <f>IF(_xlfn.MAXIFS(Stats!K:K,Stats!F:F,A37)&gt;_xlfn.MAXIFS(Stats!M:M,Stats!H:H,A37),_xlfn.MAXIFS(Stats!K:K,Stats!F:F,A37),_xlfn.MAXIFS(Stats!M:M,Stats!H:H,A37))</f>
        <v>497</v>
      </c>
      <c r="AN37">
        <f>IF(_xlfn.MINIFS(Stats!M:M,Stats!H:H,A37)&lt;_xlfn.MINIFS(Stats!K:K,Stats!F:F,A37),_xlfn.MINIFS(Stats!M:M,Stats!H:H,A37),_xlfn.MINIFS(Stats!K:K,Stats!F:F,A37))</f>
        <v>208</v>
      </c>
      <c r="AO37">
        <f>SUMIFS(Stats!K:K,Stats!F:F,A37)/D37</f>
        <v>364.57142857142856</v>
      </c>
      <c r="AP37">
        <f>SUMIFS(Stats!M:M,Stats!F:F,A37)/D37</f>
        <v>358.42857142857144</v>
      </c>
      <c r="AQ37">
        <f t="shared" si="14"/>
        <v>6.1428571428571104</v>
      </c>
      <c r="AR37">
        <f>SUMIFS(Stats!M:M,Stats!H:H,A37)/E37</f>
        <v>295.39999999999998</v>
      </c>
      <c r="AS37">
        <f>SUMIFS(Stats!K:K,Stats!H:H,A37)/E37</f>
        <v>393.6</v>
      </c>
      <c r="AT37">
        <f t="shared" si="15"/>
        <v>-98.200000000000045</v>
      </c>
      <c r="AU37">
        <f>(SUMIFS(Stats!I:I,Stats!E:E,"H",Stats!F:F,A37)+SUMIFS(Stats!J:J,Stats!H:H,A37,Stats!G:G,"H"))/(F37+G37)</f>
        <v>25.75</v>
      </c>
      <c r="AV37">
        <f>(SUMIFS(Stats!K:K,Stats!F:F,A37,Stats!E:E,"H")+SUMIFS(Stats!M:M,Stats!G:G,"H",Stats!H:H,A37))/(F37+G37)</f>
        <v>327.5</v>
      </c>
      <c r="AW37">
        <f>(SUMIFS(Stats!I:I,Stats!E:E,"V",Stats!F:F,A37)+SUMIFS(Stats!J:J,Stats!H:H,A37,Stats!G:G,"V"))/(H37+I37)</f>
        <v>21</v>
      </c>
      <c r="AX37">
        <f>(SUMIFS(Stats!K:K,Stats!F:F,A37,Stats!E:E,"V")+SUMIFS(Stats!M:M,Stats!G:G,"V",Stats!H:H,A37))/(H37+I37)</f>
        <v>320.66666666666669</v>
      </c>
    </row>
    <row r="38" spans="1:50">
      <c r="A38" t="s">
        <v>31</v>
      </c>
      <c r="B38" t="s">
        <v>123</v>
      </c>
      <c r="C38" t="s">
        <v>128</v>
      </c>
      <c r="D38">
        <f>COUNTIF(Stats!F:F,A38)</f>
        <v>11</v>
      </c>
      <c r="E38">
        <f>COUNTIF(Stats!H:H,A38)</f>
        <v>7</v>
      </c>
      <c r="F38">
        <f>COUNTIFS(Stats!F:F,A38,Stats!E:E,"H")</f>
        <v>3</v>
      </c>
      <c r="G38">
        <f>COUNTIFS(Stats!H:H,A38,Stats!G:G,"H")</f>
        <v>5</v>
      </c>
      <c r="H38">
        <f t="shared" si="0"/>
        <v>8</v>
      </c>
      <c r="I38">
        <f t="shared" si="0"/>
        <v>2</v>
      </c>
      <c r="J38">
        <f>SUMIFS(Stats!I:I,Stats!F:F,A38)+SUMIFS(Stats!J:J,Stats!H:H,A38)</f>
        <v>460</v>
      </c>
      <c r="K38">
        <f t="shared" si="1"/>
        <v>25.555555555555557</v>
      </c>
      <c r="L38">
        <f>SUMIFS(Stats!I:I,Stats!H:H,A38)+SUMIFS(Stats!J:J,Stats!F:F,A38)</f>
        <v>400</v>
      </c>
      <c r="M38">
        <f t="shared" si="2"/>
        <v>22.222222222222221</v>
      </c>
      <c r="N38">
        <f t="shared" si="3"/>
        <v>60</v>
      </c>
      <c r="O38">
        <f t="shared" si="4"/>
        <v>3.3333333333333335</v>
      </c>
      <c r="P38">
        <f>SUMIFS(Stats!K:K,Stats!F:F,A38)+SUMIFS(Stats!M:M,Stats!H:H,A38)</f>
        <v>6535</v>
      </c>
      <c r="Q38">
        <f>SUMIFS(Stats!K:K,Stats!H:H,A38)+SUMIFS(Stats!M:M,Stats!F:F,A38)</f>
        <v>5972</v>
      </c>
      <c r="R38">
        <f t="shared" si="5"/>
        <v>363.05555555555554</v>
      </c>
      <c r="S38">
        <f t="shared" si="6"/>
        <v>331.77777777777777</v>
      </c>
      <c r="T38">
        <f t="shared" si="7"/>
        <v>563</v>
      </c>
      <c r="U38">
        <f>SUMIFS(Stats!I:I,Stats!F:F,A38)</f>
        <v>337</v>
      </c>
      <c r="V38">
        <f t="shared" si="8"/>
        <v>30.636363636363637</v>
      </c>
      <c r="W38">
        <f>SUMIFS(Stats!J:J,Stats!F:F,A38)</f>
        <v>188</v>
      </c>
      <c r="X38">
        <f t="shared" si="9"/>
        <v>17.09090909090909</v>
      </c>
      <c r="Y38">
        <f t="shared" si="10"/>
        <v>149</v>
      </c>
      <c r="Z38">
        <f t="shared" si="10"/>
        <v>13.545454545454547</v>
      </c>
      <c r="AA38">
        <f>SUMIFS(Stats!J:J,Stats!H:H,A38)</f>
        <v>123</v>
      </c>
      <c r="AB38">
        <f t="shared" si="11"/>
        <v>17.571428571428573</v>
      </c>
      <c r="AC38">
        <f>SUMIFS(Stats!I:I,Stats!H:H,A38)</f>
        <v>212</v>
      </c>
      <c r="AD38">
        <f t="shared" si="12"/>
        <v>30.285714285714285</v>
      </c>
      <c r="AE38">
        <f t="shared" si="13"/>
        <v>-89</v>
      </c>
      <c r="AF38">
        <f t="shared" si="13"/>
        <v>-12.714285714285712</v>
      </c>
      <c r="AG38">
        <f>_xlfn.MINIFS(Stats!O:O,Stats!F:F,A38)</f>
        <v>1</v>
      </c>
      <c r="AH38">
        <f>-_xlfn.MINIFS(Stats!O:O,Stats!H:H,A38)</f>
        <v>-3</v>
      </c>
      <c r="AI38">
        <f>_xlfn.MAXIFS(Stats!O:O,Stats!F:F,A38)</f>
        <v>26</v>
      </c>
      <c r="AJ38">
        <f>-_xlfn.MAXIFS(Stats!O:O,Stats!H:H,A38)</f>
        <v>-24</v>
      </c>
      <c r="AK38">
        <f>_xlfn.MAXIFS(Stats!I:I,Stats!F:F,A38)</f>
        <v>38</v>
      </c>
      <c r="AL38">
        <f>IF(_xlfn.MINIFS(Stats!I:I,Stats!F:F,A38)&lt;_xlfn.MINIFS(Stats!J:J,Stats!H:H,A38),_xlfn.MINIFS(Stats!I:I,Stats!F:F,A38),_xlfn.MINIFS(Stats!J:J,Stats!H:H,A38))</f>
        <v>10</v>
      </c>
      <c r="AM38">
        <f>IF(_xlfn.MAXIFS(Stats!K:K,Stats!F:F,A38)&gt;_xlfn.MAXIFS(Stats!M:M,Stats!H:H,A38),_xlfn.MAXIFS(Stats!K:K,Stats!F:F,A38),_xlfn.MAXIFS(Stats!M:M,Stats!H:H,A38))</f>
        <v>474</v>
      </c>
      <c r="AN38">
        <f>IF(_xlfn.MINIFS(Stats!M:M,Stats!H:H,A38)&lt;_xlfn.MINIFS(Stats!K:K,Stats!F:F,A38),_xlfn.MINIFS(Stats!M:M,Stats!H:H,A38),_xlfn.MINIFS(Stats!K:K,Stats!F:F,A38))</f>
        <v>169</v>
      </c>
      <c r="AO38">
        <f>SUMIFS(Stats!K:K,Stats!F:F,A38)/D38</f>
        <v>392.81818181818181</v>
      </c>
      <c r="AP38">
        <f>SUMIFS(Stats!M:M,Stats!F:F,A38)/D38</f>
        <v>313.63636363636363</v>
      </c>
      <c r="AQ38">
        <f t="shared" si="14"/>
        <v>79.181818181818187</v>
      </c>
      <c r="AR38">
        <f>SUMIFS(Stats!M:M,Stats!H:H,A38)/E38</f>
        <v>316.28571428571428</v>
      </c>
      <c r="AS38">
        <f>SUMIFS(Stats!K:K,Stats!H:H,A38)/E38</f>
        <v>360.28571428571428</v>
      </c>
      <c r="AT38">
        <f t="shared" si="15"/>
        <v>-44</v>
      </c>
      <c r="AU38">
        <f>(SUMIFS(Stats!I:I,Stats!E:E,"H",Stats!F:F,A38)+SUMIFS(Stats!J:J,Stats!H:H,A38,Stats!G:G,"H"))/(F38+G38)</f>
        <v>22.75</v>
      </c>
      <c r="AV38">
        <f>(SUMIFS(Stats!K:K,Stats!F:F,A38,Stats!E:E,"H")+SUMIFS(Stats!M:M,Stats!G:G,"H",Stats!H:H,A38))/(F38+G38)</f>
        <v>351</v>
      </c>
      <c r="AW38">
        <f>(SUMIFS(Stats!I:I,Stats!E:E,"V",Stats!F:F,A38)+SUMIFS(Stats!J:J,Stats!H:H,A38,Stats!G:G,"V"))/(H38+I38)</f>
        <v>27.8</v>
      </c>
      <c r="AX38">
        <f>(SUMIFS(Stats!K:K,Stats!F:F,A38,Stats!E:E,"V")+SUMIFS(Stats!M:M,Stats!G:G,"V",Stats!H:H,A38))/(H38+I38)</f>
        <v>372.7</v>
      </c>
    </row>
    <row r="39" spans="1:50">
      <c r="A39" t="s">
        <v>33</v>
      </c>
      <c r="B39" t="s">
        <v>123</v>
      </c>
      <c r="C39" t="s">
        <v>128</v>
      </c>
      <c r="D39">
        <f>COUNTIF(Stats!F:F,A39)</f>
        <v>12</v>
      </c>
      <c r="E39">
        <f>COUNTIF(Stats!H:H,A39)</f>
        <v>8</v>
      </c>
      <c r="F39">
        <f>COUNTIFS(Stats!F:F,A39,Stats!E:E,"H")</f>
        <v>4</v>
      </c>
      <c r="G39">
        <f>COUNTIFS(Stats!H:H,A39,Stats!G:G,"H")</f>
        <v>4</v>
      </c>
      <c r="H39">
        <f t="shared" si="0"/>
        <v>8</v>
      </c>
      <c r="I39">
        <f t="shared" si="0"/>
        <v>4</v>
      </c>
      <c r="J39">
        <f>SUMIFS(Stats!I:I,Stats!F:F,A39)+SUMIFS(Stats!J:J,Stats!H:H,A39)</f>
        <v>480</v>
      </c>
      <c r="K39">
        <f t="shared" si="1"/>
        <v>24</v>
      </c>
      <c r="L39">
        <f>SUMIFS(Stats!I:I,Stats!H:H,A39)+SUMIFS(Stats!J:J,Stats!F:F,A39)</f>
        <v>412</v>
      </c>
      <c r="M39">
        <f t="shared" si="2"/>
        <v>20.6</v>
      </c>
      <c r="N39">
        <f t="shared" si="3"/>
        <v>68</v>
      </c>
      <c r="O39">
        <f t="shared" si="4"/>
        <v>3.4</v>
      </c>
      <c r="P39">
        <f>SUMIFS(Stats!K:K,Stats!F:F,A39)+SUMIFS(Stats!M:M,Stats!H:H,A39)</f>
        <v>7222</v>
      </c>
      <c r="Q39">
        <f>SUMIFS(Stats!K:K,Stats!H:H,A39)+SUMIFS(Stats!M:M,Stats!F:F,A39)</f>
        <v>6236</v>
      </c>
      <c r="R39">
        <f t="shared" si="5"/>
        <v>361.1</v>
      </c>
      <c r="S39">
        <f t="shared" si="6"/>
        <v>311.8</v>
      </c>
      <c r="T39">
        <f t="shared" si="7"/>
        <v>986</v>
      </c>
      <c r="U39">
        <f>SUMIFS(Stats!I:I,Stats!F:F,A39)</f>
        <v>329</v>
      </c>
      <c r="V39">
        <f t="shared" si="8"/>
        <v>27.416666666666668</v>
      </c>
      <c r="W39">
        <f>SUMIFS(Stats!J:J,Stats!F:F,A39)</f>
        <v>206</v>
      </c>
      <c r="X39">
        <f t="shared" si="9"/>
        <v>17.166666666666668</v>
      </c>
      <c r="Y39">
        <f t="shared" si="10"/>
        <v>123</v>
      </c>
      <c r="Z39">
        <f t="shared" si="10"/>
        <v>10.25</v>
      </c>
      <c r="AA39">
        <f>SUMIFS(Stats!J:J,Stats!H:H,A39)</f>
        <v>151</v>
      </c>
      <c r="AB39">
        <f t="shared" si="11"/>
        <v>18.875</v>
      </c>
      <c r="AC39">
        <f>SUMIFS(Stats!I:I,Stats!H:H,A39)</f>
        <v>206</v>
      </c>
      <c r="AD39">
        <f t="shared" si="12"/>
        <v>25.75</v>
      </c>
      <c r="AE39">
        <f t="shared" si="13"/>
        <v>-55</v>
      </c>
      <c r="AF39">
        <f t="shared" si="13"/>
        <v>-6.875</v>
      </c>
      <c r="AG39">
        <f>_xlfn.MINIFS(Stats!O:O,Stats!F:F,A39)</f>
        <v>3</v>
      </c>
      <c r="AH39">
        <f>-_xlfn.MINIFS(Stats!O:O,Stats!H:H,A39)</f>
        <v>-2</v>
      </c>
      <c r="AI39">
        <f>_xlfn.MAXIFS(Stats!O:O,Stats!F:F,A39)</f>
        <v>21</v>
      </c>
      <c r="AJ39">
        <f>-_xlfn.MAXIFS(Stats!O:O,Stats!H:H,A39)</f>
        <v>-14</v>
      </c>
      <c r="AK39">
        <f>_xlfn.MAXIFS(Stats!I:I,Stats!F:F,A39)</f>
        <v>41</v>
      </c>
      <c r="AL39">
        <f>IF(_xlfn.MINIFS(Stats!I:I,Stats!F:F,A39)&lt;_xlfn.MINIFS(Stats!J:J,Stats!H:H,A39),_xlfn.MINIFS(Stats!I:I,Stats!F:F,A39),_xlfn.MINIFS(Stats!J:J,Stats!H:H,A39))</f>
        <v>10</v>
      </c>
      <c r="AM39">
        <f>IF(_xlfn.MAXIFS(Stats!K:K,Stats!F:F,A39)&gt;_xlfn.MAXIFS(Stats!M:M,Stats!H:H,A39),_xlfn.MAXIFS(Stats!K:K,Stats!F:F,A39),_xlfn.MAXIFS(Stats!M:M,Stats!H:H,A39))</f>
        <v>467</v>
      </c>
      <c r="AN39">
        <f>IF(_xlfn.MINIFS(Stats!M:M,Stats!H:H,A39)&lt;_xlfn.MINIFS(Stats!K:K,Stats!F:F,A39),_xlfn.MINIFS(Stats!M:M,Stats!H:H,A39),_xlfn.MINIFS(Stats!K:K,Stats!F:F,A39))</f>
        <v>212</v>
      </c>
      <c r="AO39">
        <f>SUMIFS(Stats!K:K,Stats!F:F,A39)/D39</f>
        <v>373</v>
      </c>
      <c r="AP39">
        <f>SUMIFS(Stats!M:M,Stats!F:F,A39)/D39</f>
        <v>301</v>
      </c>
      <c r="AQ39">
        <f t="shared" si="14"/>
        <v>72</v>
      </c>
      <c r="AR39">
        <f>SUMIFS(Stats!M:M,Stats!H:H,A39)/E39</f>
        <v>343.25</v>
      </c>
      <c r="AS39">
        <f>SUMIFS(Stats!K:K,Stats!H:H,A39)/E39</f>
        <v>328</v>
      </c>
      <c r="AT39">
        <f t="shared" si="15"/>
        <v>15.25</v>
      </c>
      <c r="AU39">
        <f>(SUMIFS(Stats!I:I,Stats!E:E,"H",Stats!F:F,A39)+SUMIFS(Stats!J:J,Stats!H:H,A39,Stats!G:G,"H"))/(F39+G39)</f>
        <v>25.375</v>
      </c>
      <c r="AV39">
        <f>(SUMIFS(Stats!K:K,Stats!F:F,A39,Stats!E:E,"H")+SUMIFS(Stats!M:M,Stats!G:G,"H",Stats!H:H,A39))/(F39+G39)</f>
        <v>367.875</v>
      </c>
      <c r="AW39">
        <f>(SUMIFS(Stats!I:I,Stats!E:E,"V",Stats!F:F,A39)+SUMIFS(Stats!J:J,Stats!H:H,A39,Stats!G:G,"V"))/(H39+I39)</f>
        <v>23.083333333333332</v>
      </c>
      <c r="AX39">
        <f>(SUMIFS(Stats!K:K,Stats!F:F,A39,Stats!E:E,"V")+SUMIFS(Stats!M:M,Stats!G:G,"V",Stats!H:H,A39))/(H39+I39)</f>
        <v>356.58333333333331</v>
      </c>
    </row>
    <row r="40" spans="1:50">
      <c r="A40" t="s">
        <v>48</v>
      </c>
      <c r="B40" t="s">
        <v>123</v>
      </c>
      <c r="C40" t="s">
        <v>128</v>
      </c>
      <c r="D40">
        <f>COUNTIF(Stats!F:F,A40)</f>
        <v>16</v>
      </c>
      <c r="E40">
        <f>COUNTIF(Stats!H:H,A40)</f>
        <v>5</v>
      </c>
      <c r="F40">
        <f>COUNTIFS(Stats!F:F,A40,Stats!E:E,"H")</f>
        <v>8</v>
      </c>
      <c r="G40">
        <f>COUNTIFS(Stats!H:H,A40,Stats!G:G,"H")</f>
        <v>3</v>
      </c>
      <c r="H40">
        <f t="shared" si="0"/>
        <v>8</v>
      </c>
      <c r="I40">
        <f t="shared" si="0"/>
        <v>2</v>
      </c>
      <c r="J40">
        <f>SUMIFS(Stats!I:I,Stats!F:F,A40)+SUMIFS(Stats!J:J,Stats!H:H,A40)</f>
        <v>567</v>
      </c>
      <c r="K40">
        <f t="shared" si="1"/>
        <v>27</v>
      </c>
      <c r="L40">
        <f>SUMIFS(Stats!I:I,Stats!H:H,A40)+SUMIFS(Stats!J:J,Stats!F:F,A40)</f>
        <v>447</v>
      </c>
      <c r="M40">
        <f t="shared" si="2"/>
        <v>21.285714285714285</v>
      </c>
      <c r="N40">
        <f t="shared" si="3"/>
        <v>120</v>
      </c>
      <c r="O40">
        <f t="shared" si="4"/>
        <v>5.7142857142857144</v>
      </c>
      <c r="P40">
        <f>SUMIFS(Stats!K:K,Stats!F:F,A40)+SUMIFS(Stats!M:M,Stats!H:H,A40)</f>
        <v>7837</v>
      </c>
      <c r="Q40">
        <f>SUMIFS(Stats!K:K,Stats!H:H,A40)+SUMIFS(Stats!M:M,Stats!F:F,A40)</f>
        <v>6992</v>
      </c>
      <c r="R40">
        <f t="shared" si="5"/>
        <v>373.1904761904762</v>
      </c>
      <c r="S40">
        <f t="shared" si="6"/>
        <v>332.95238095238096</v>
      </c>
      <c r="T40">
        <f t="shared" si="7"/>
        <v>845</v>
      </c>
      <c r="U40">
        <f>SUMIFS(Stats!I:I,Stats!F:F,A40)</f>
        <v>469</v>
      </c>
      <c r="V40">
        <f t="shared" si="8"/>
        <v>29.3125</v>
      </c>
      <c r="W40">
        <f>SUMIFS(Stats!J:J,Stats!F:F,A40)</f>
        <v>288</v>
      </c>
      <c r="X40">
        <f t="shared" si="9"/>
        <v>18</v>
      </c>
      <c r="Y40">
        <f t="shared" si="10"/>
        <v>181</v>
      </c>
      <c r="Z40">
        <f t="shared" si="10"/>
        <v>11.3125</v>
      </c>
      <c r="AA40">
        <f>SUMIFS(Stats!J:J,Stats!H:H,A40)</f>
        <v>98</v>
      </c>
      <c r="AB40">
        <f t="shared" si="11"/>
        <v>19.600000000000001</v>
      </c>
      <c r="AC40">
        <f>SUMIFS(Stats!I:I,Stats!H:H,A40)</f>
        <v>159</v>
      </c>
      <c r="AD40">
        <f t="shared" si="12"/>
        <v>31.8</v>
      </c>
      <c r="AE40">
        <f t="shared" si="13"/>
        <v>-61</v>
      </c>
      <c r="AF40">
        <f t="shared" si="13"/>
        <v>-12.2</v>
      </c>
      <c r="AG40">
        <f>_xlfn.MINIFS(Stats!O:O,Stats!F:F,A40)</f>
        <v>1</v>
      </c>
      <c r="AH40">
        <f>-_xlfn.MINIFS(Stats!O:O,Stats!H:H,A40)</f>
        <v>-3</v>
      </c>
      <c r="AI40">
        <f>_xlfn.MAXIFS(Stats!O:O,Stats!F:F,A40)</f>
        <v>30</v>
      </c>
      <c r="AJ40">
        <f>-_xlfn.MAXIFS(Stats!O:O,Stats!H:H,A40)</f>
        <v>-21</v>
      </c>
      <c r="AK40">
        <f>_xlfn.MAXIFS(Stats!I:I,Stats!F:F,A40)</f>
        <v>38</v>
      </c>
      <c r="AL40">
        <f>IF(_xlfn.MINIFS(Stats!I:I,Stats!F:F,A40)&lt;_xlfn.MINIFS(Stats!J:J,Stats!H:H,A40),_xlfn.MINIFS(Stats!I:I,Stats!F:F,A40),_xlfn.MINIFS(Stats!J:J,Stats!H:H,A40))</f>
        <v>10</v>
      </c>
      <c r="AM40">
        <f>IF(_xlfn.MAXIFS(Stats!K:K,Stats!F:F,A40)&gt;_xlfn.MAXIFS(Stats!M:M,Stats!H:H,A40),_xlfn.MAXIFS(Stats!K:K,Stats!F:F,A40),_xlfn.MAXIFS(Stats!M:M,Stats!H:H,A40))</f>
        <v>476</v>
      </c>
      <c r="AN40">
        <f>IF(_xlfn.MINIFS(Stats!M:M,Stats!H:H,A40)&lt;_xlfn.MINIFS(Stats!K:K,Stats!F:F,A40),_xlfn.MINIFS(Stats!M:M,Stats!H:H,A40),_xlfn.MINIFS(Stats!K:K,Stats!F:F,A40))</f>
        <v>265</v>
      </c>
      <c r="AO40">
        <f>SUMIFS(Stats!K:K,Stats!F:F,A40)/D40</f>
        <v>387.0625</v>
      </c>
      <c r="AP40">
        <f>SUMIFS(Stats!M:M,Stats!F:F,A40)/D40</f>
        <v>321.875</v>
      </c>
      <c r="AQ40">
        <f t="shared" si="14"/>
        <v>65.1875</v>
      </c>
      <c r="AR40">
        <f>SUMIFS(Stats!M:M,Stats!H:H,A40)/E40</f>
        <v>328.8</v>
      </c>
      <c r="AS40">
        <f>SUMIFS(Stats!K:K,Stats!H:H,A40)/E40</f>
        <v>368.4</v>
      </c>
      <c r="AT40">
        <f t="shared" si="15"/>
        <v>-39.599999999999966</v>
      </c>
      <c r="AU40">
        <f>(SUMIFS(Stats!I:I,Stats!E:E,"H",Stats!F:F,A40)+SUMIFS(Stats!J:J,Stats!H:H,A40,Stats!G:G,"H"))/(F40+G40)</f>
        <v>26.363636363636363</v>
      </c>
      <c r="AV40">
        <f>(SUMIFS(Stats!K:K,Stats!F:F,A40,Stats!E:E,"H")+SUMIFS(Stats!M:M,Stats!G:G,"H",Stats!H:H,A40))/(F40+G40)</f>
        <v>364.90909090909093</v>
      </c>
      <c r="AW40">
        <f>(SUMIFS(Stats!I:I,Stats!E:E,"V",Stats!F:F,A40)+SUMIFS(Stats!J:J,Stats!H:H,A40,Stats!G:G,"V"))/(H40+I40)</f>
        <v>27.7</v>
      </c>
      <c r="AX40">
        <f>(SUMIFS(Stats!K:K,Stats!F:F,A40,Stats!E:E,"V")+SUMIFS(Stats!M:M,Stats!G:G,"V",Stats!H:H,A40))/(H40+I40)</f>
        <v>382.3</v>
      </c>
    </row>
  </sheetData>
  <autoFilter ref="A1:C40" xr:uid="{B3CED70B-08CE-4B80-BBDA-347D8A4790FE}"/>
  <conditionalFormatting sqref="D2:D5">
    <cfRule type="top10" dxfId="753" priority="990" rank="1"/>
  </conditionalFormatting>
  <conditionalFormatting sqref="D2:D5">
    <cfRule type="top10" dxfId="752" priority="989" bottom="1" rank="1"/>
  </conditionalFormatting>
  <conditionalFormatting sqref="E2:E5">
    <cfRule type="top10" dxfId="751" priority="988" rank="1"/>
  </conditionalFormatting>
  <conditionalFormatting sqref="E2:E5">
    <cfRule type="top10" dxfId="750" priority="987" bottom="1" rank="1"/>
  </conditionalFormatting>
  <conditionalFormatting sqref="F2:F5">
    <cfRule type="top10" dxfId="749" priority="986" rank="1"/>
  </conditionalFormatting>
  <conditionalFormatting sqref="F2:F5">
    <cfRule type="top10" dxfId="748" priority="985" bottom="1" rank="1"/>
  </conditionalFormatting>
  <conditionalFormatting sqref="G2:G5">
    <cfRule type="top10" dxfId="747" priority="984" rank="1"/>
  </conditionalFormatting>
  <conditionalFormatting sqref="G2:G5">
    <cfRule type="top10" dxfId="746" priority="983" bottom="1" rank="1"/>
  </conditionalFormatting>
  <conditionalFormatting sqref="H2:H5">
    <cfRule type="top10" dxfId="745" priority="982" rank="1"/>
  </conditionalFormatting>
  <conditionalFormatting sqref="H2:H5">
    <cfRule type="top10" dxfId="744" priority="981" bottom="1" rank="1"/>
  </conditionalFormatting>
  <conditionalFormatting sqref="I2:I5">
    <cfRule type="top10" dxfId="743" priority="980" rank="1"/>
  </conditionalFormatting>
  <conditionalFormatting sqref="I2:I5">
    <cfRule type="top10" dxfId="742" priority="979" bottom="1" rank="1"/>
  </conditionalFormatting>
  <conditionalFormatting sqref="J2:J5">
    <cfRule type="top10" dxfId="741" priority="978" rank="1"/>
  </conditionalFormatting>
  <conditionalFormatting sqref="J2:J5">
    <cfRule type="top10" dxfId="740" priority="977" bottom="1" rank="1"/>
  </conditionalFormatting>
  <conditionalFormatting sqref="K2:K5">
    <cfRule type="top10" dxfId="739" priority="976" rank="1"/>
  </conditionalFormatting>
  <conditionalFormatting sqref="K2:K5">
    <cfRule type="top10" dxfId="738" priority="975" bottom="1" rank="1"/>
  </conditionalFormatting>
  <conditionalFormatting sqref="L2:L5">
    <cfRule type="top10" dxfId="737" priority="974" rank="1"/>
  </conditionalFormatting>
  <conditionalFormatting sqref="L2:L5">
    <cfRule type="top10" dxfId="736" priority="973" bottom="1" rank="1"/>
  </conditionalFormatting>
  <conditionalFormatting sqref="M2:M5">
    <cfRule type="top10" dxfId="735" priority="972" rank="1"/>
  </conditionalFormatting>
  <conditionalFormatting sqref="M2:M5">
    <cfRule type="top10" dxfId="734" priority="971" bottom="1" rank="1"/>
  </conditionalFormatting>
  <conditionalFormatting sqref="N2:N5">
    <cfRule type="top10" dxfId="733" priority="970" rank="1"/>
  </conditionalFormatting>
  <conditionalFormatting sqref="N2:N5">
    <cfRule type="top10" dxfId="732" priority="969" bottom="1" rank="1"/>
  </conditionalFormatting>
  <conditionalFormatting sqref="O2:O5">
    <cfRule type="top10" dxfId="731" priority="968" rank="1"/>
  </conditionalFormatting>
  <conditionalFormatting sqref="O2:O5">
    <cfRule type="top10" dxfId="730" priority="967" bottom="1" rank="1"/>
  </conditionalFormatting>
  <conditionalFormatting sqref="P2:P5">
    <cfRule type="top10" dxfId="729" priority="966" rank="1"/>
  </conditionalFormatting>
  <conditionalFormatting sqref="P2:P5">
    <cfRule type="top10" dxfId="728" priority="965" bottom="1" rank="1"/>
  </conditionalFormatting>
  <conditionalFormatting sqref="Q2:Q5">
    <cfRule type="top10" dxfId="727" priority="964" rank="1"/>
  </conditionalFormatting>
  <conditionalFormatting sqref="Q2:Q5">
    <cfRule type="top10" dxfId="726" priority="963" bottom="1" rank="1"/>
  </conditionalFormatting>
  <conditionalFormatting sqref="R2:R5">
    <cfRule type="top10" dxfId="725" priority="962" rank="1"/>
  </conditionalFormatting>
  <conditionalFormatting sqref="R2:R5">
    <cfRule type="top10" dxfId="724" priority="961" bottom="1" rank="1"/>
  </conditionalFormatting>
  <conditionalFormatting sqref="S2:S5">
    <cfRule type="top10" dxfId="723" priority="960" rank="1"/>
  </conditionalFormatting>
  <conditionalFormatting sqref="S2:S5">
    <cfRule type="top10" dxfId="722" priority="959" bottom="1" rank="1"/>
  </conditionalFormatting>
  <conditionalFormatting sqref="T2:T5">
    <cfRule type="top10" dxfId="721" priority="958" rank="1"/>
  </conditionalFormatting>
  <conditionalFormatting sqref="T2:T5">
    <cfRule type="top10" dxfId="720" priority="957" bottom="1" rank="1"/>
  </conditionalFormatting>
  <conditionalFormatting sqref="U2:U5">
    <cfRule type="top10" dxfId="719" priority="956" rank="1"/>
  </conditionalFormatting>
  <conditionalFormatting sqref="U2:U5">
    <cfRule type="top10" dxfId="718" priority="955" bottom="1" rank="1"/>
  </conditionalFormatting>
  <conditionalFormatting sqref="V2:V5">
    <cfRule type="top10" dxfId="717" priority="954" rank="1"/>
  </conditionalFormatting>
  <conditionalFormatting sqref="V2:V5">
    <cfRule type="top10" dxfId="716" priority="953" bottom="1" rank="1"/>
  </conditionalFormatting>
  <conditionalFormatting sqref="W2:W5">
    <cfRule type="top10" dxfId="715" priority="952" rank="1"/>
  </conditionalFormatting>
  <conditionalFormatting sqref="W2:W5">
    <cfRule type="top10" dxfId="714" priority="951" bottom="1" rank="1"/>
  </conditionalFormatting>
  <conditionalFormatting sqref="X2:X5">
    <cfRule type="top10" dxfId="713" priority="950" rank="1"/>
  </conditionalFormatting>
  <conditionalFormatting sqref="X2:X5">
    <cfRule type="top10" dxfId="712" priority="949" bottom="1" rank="1"/>
  </conditionalFormatting>
  <conditionalFormatting sqref="Y2:Y5">
    <cfRule type="top10" dxfId="711" priority="948" rank="1"/>
  </conditionalFormatting>
  <conditionalFormatting sqref="Y2:Y5">
    <cfRule type="top10" dxfId="710" priority="947" bottom="1" rank="1"/>
  </conditionalFormatting>
  <conditionalFormatting sqref="Z2:Z5">
    <cfRule type="top10" dxfId="709" priority="946" rank="1"/>
  </conditionalFormatting>
  <conditionalFormatting sqref="Z2:Z5">
    <cfRule type="top10" dxfId="708" priority="945" bottom="1" rank="1"/>
  </conditionalFormatting>
  <conditionalFormatting sqref="AA2:AA5">
    <cfRule type="top10" dxfId="707" priority="944" rank="1"/>
  </conditionalFormatting>
  <conditionalFormatting sqref="AA2:AA5">
    <cfRule type="top10" dxfId="706" priority="943" bottom="1" rank="1"/>
  </conditionalFormatting>
  <conditionalFormatting sqref="AB2:AB5">
    <cfRule type="top10" dxfId="705" priority="942" rank="1"/>
  </conditionalFormatting>
  <conditionalFormatting sqref="AB2:AB5">
    <cfRule type="top10" dxfId="704" priority="941" bottom="1" rank="1"/>
  </conditionalFormatting>
  <conditionalFormatting sqref="AC2:AC5">
    <cfRule type="top10" dxfId="703" priority="940" rank="1"/>
  </conditionalFormatting>
  <conditionalFormatting sqref="AC2:AC5">
    <cfRule type="top10" dxfId="702" priority="939" bottom="1" rank="1"/>
  </conditionalFormatting>
  <conditionalFormatting sqref="AD2:AD5">
    <cfRule type="top10" dxfId="701" priority="938" rank="1"/>
  </conditionalFormatting>
  <conditionalFormatting sqref="AD2:AD5">
    <cfRule type="top10" dxfId="700" priority="937" bottom="1" rank="1"/>
  </conditionalFormatting>
  <conditionalFormatting sqref="AE2:AE5">
    <cfRule type="top10" dxfId="699" priority="936" rank="1"/>
  </conditionalFormatting>
  <conditionalFormatting sqref="AE2:AE5">
    <cfRule type="top10" dxfId="698" priority="935" bottom="1" rank="1"/>
  </conditionalFormatting>
  <conditionalFormatting sqref="AF2:AF5">
    <cfRule type="top10" dxfId="697" priority="934" rank="1"/>
  </conditionalFormatting>
  <conditionalFormatting sqref="AF2:AF5">
    <cfRule type="top10" dxfId="696" priority="933" bottom="1" rank="1"/>
  </conditionalFormatting>
  <conditionalFormatting sqref="AG2:AG5">
    <cfRule type="top10" dxfId="695" priority="932" rank="1"/>
  </conditionalFormatting>
  <conditionalFormatting sqref="AG2:AG5">
    <cfRule type="top10" dxfId="694" priority="931" bottom="1" rank="1"/>
  </conditionalFormatting>
  <conditionalFormatting sqref="AH2:AH5">
    <cfRule type="top10" dxfId="693" priority="930" rank="1"/>
  </conditionalFormatting>
  <conditionalFormatting sqref="AH2:AH5">
    <cfRule type="top10" dxfId="692" priority="929" bottom="1" rank="1"/>
  </conditionalFormatting>
  <conditionalFormatting sqref="AI2:AI5">
    <cfRule type="top10" dxfId="691" priority="928" rank="1"/>
  </conditionalFormatting>
  <conditionalFormatting sqref="AI2:AI5">
    <cfRule type="top10" dxfId="690" priority="927" bottom="1" rank="1"/>
  </conditionalFormatting>
  <conditionalFormatting sqref="AJ2:AJ5">
    <cfRule type="top10" dxfId="689" priority="926" rank="1"/>
  </conditionalFormatting>
  <conditionalFormatting sqref="AJ2:AJ5">
    <cfRule type="top10" dxfId="688" priority="925" bottom="1" rank="1"/>
  </conditionalFormatting>
  <conditionalFormatting sqref="AK2:AK5">
    <cfRule type="top10" dxfId="687" priority="924" rank="1"/>
  </conditionalFormatting>
  <conditionalFormatting sqref="AK2:AK5">
    <cfRule type="top10" dxfId="686" priority="923" bottom="1" rank="1"/>
  </conditionalFormatting>
  <conditionalFormatting sqref="AL2:AL5">
    <cfRule type="top10" dxfId="685" priority="922" rank="1"/>
  </conditionalFormatting>
  <conditionalFormatting sqref="AL2:AL5">
    <cfRule type="top10" dxfId="684" priority="921" bottom="1" rank="1"/>
  </conditionalFormatting>
  <conditionalFormatting sqref="AM2:AM5">
    <cfRule type="top10" dxfId="683" priority="920" rank="1"/>
  </conditionalFormatting>
  <conditionalFormatting sqref="AM2:AM5">
    <cfRule type="top10" dxfId="682" priority="919" bottom="1" rank="1"/>
  </conditionalFormatting>
  <conditionalFormatting sqref="AN2:AN5">
    <cfRule type="top10" dxfId="681" priority="918" rank="1"/>
  </conditionalFormatting>
  <conditionalFormatting sqref="AN2:AN5">
    <cfRule type="top10" dxfId="680" priority="917" bottom="1" rank="1"/>
  </conditionalFormatting>
  <conditionalFormatting sqref="AO2:AO5">
    <cfRule type="top10" dxfId="679" priority="916" rank="1"/>
  </conditionalFormatting>
  <conditionalFormatting sqref="AO2:AO5">
    <cfRule type="top10" dxfId="678" priority="915" bottom="1" rank="1"/>
  </conditionalFormatting>
  <conditionalFormatting sqref="AP2:AP5">
    <cfRule type="top10" dxfId="677" priority="914" rank="1"/>
  </conditionalFormatting>
  <conditionalFormatting sqref="AP2:AP5">
    <cfRule type="top10" dxfId="676" priority="913" bottom="1" rank="1"/>
  </conditionalFormatting>
  <conditionalFormatting sqref="AQ2:AQ5">
    <cfRule type="top10" dxfId="675" priority="912" rank="1"/>
  </conditionalFormatting>
  <conditionalFormatting sqref="AQ2:AQ5">
    <cfRule type="top10" dxfId="674" priority="911" bottom="1" rank="1"/>
  </conditionalFormatting>
  <conditionalFormatting sqref="AR2:AR5">
    <cfRule type="top10" dxfId="673" priority="910" rank="1"/>
  </conditionalFormatting>
  <conditionalFormatting sqref="AR2:AR5">
    <cfRule type="top10" dxfId="672" priority="909" bottom="1" rank="1"/>
  </conditionalFormatting>
  <conditionalFormatting sqref="AS2:AS5">
    <cfRule type="top10" dxfId="671" priority="908" rank="1"/>
  </conditionalFormatting>
  <conditionalFormatting sqref="AS2:AS5">
    <cfRule type="top10" dxfId="670" priority="907" bottom="1" rank="1"/>
  </conditionalFormatting>
  <conditionalFormatting sqref="AT2:AT5">
    <cfRule type="top10" dxfId="669" priority="906" rank="1"/>
  </conditionalFormatting>
  <conditionalFormatting sqref="AT2:AT5">
    <cfRule type="top10" dxfId="668" priority="905" bottom="1" rank="1"/>
  </conditionalFormatting>
  <conditionalFormatting sqref="AU2:AU5">
    <cfRule type="top10" dxfId="667" priority="904" rank="1"/>
  </conditionalFormatting>
  <conditionalFormatting sqref="AU2:AU5">
    <cfRule type="top10" dxfId="666" priority="903" bottom="1" rank="1"/>
  </conditionalFormatting>
  <conditionalFormatting sqref="AV2:AV5">
    <cfRule type="top10" dxfId="665" priority="902" rank="1"/>
  </conditionalFormatting>
  <conditionalFormatting sqref="AV2:AV5">
    <cfRule type="top10" dxfId="664" priority="901" bottom="1" rank="1"/>
  </conditionalFormatting>
  <conditionalFormatting sqref="AW2:AW5">
    <cfRule type="top10" dxfId="663" priority="900" rank="1"/>
  </conditionalFormatting>
  <conditionalFormatting sqref="AW2:AW5">
    <cfRule type="top10" dxfId="662" priority="899" bottom="1" rank="1"/>
  </conditionalFormatting>
  <conditionalFormatting sqref="AX2:AX5">
    <cfRule type="top10" dxfId="661" priority="898" rank="1"/>
  </conditionalFormatting>
  <conditionalFormatting sqref="AX2:AX5">
    <cfRule type="top10" dxfId="660" priority="897" bottom="1" rank="1"/>
  </conditionalFormatting>
  <conditionalFormatting sqref="D7:D10">
    <cfRule type="top10" dxfId="659" priority="658" rank="1"/>
  </conditionalFormatting>
  <conditionalFormatting sqref="D7:D10">
    <cfRule type="top10" dxfId="658" priority="657" bottom="1" rank="1"/>
  </conditionalFormatting>
  <conditionalFormatting sqref="E7:E10">
    <cfRule type="top10" dxfId="657" priority="656" rank="1"/>
  </conditionalFormatting>
  <conditionalFormatting sqref="E7:E10">
    <cfRule type="top10" dxfId="656" priority="655" bottom="1" rank="1"/>
  </conditionalFormatting>
  <conditionalFormatting sqref="F7:F10">
    <cfRule type="top10" dxfId="655" priority="654" rank="1"/>
  </conditionalFormatting>
  <conditionalFormatting sqref="F7:F10">
    <cfRule type="top10" dxfId="654" priority="653" bottom="1" rank="1"/>
  </conditionalFormatting>
  <conditionalFormatting sqref="G7:G10">
    <cfRule type="top10" dxfId="653" priority="652" rank="1"/>
  </conditionalFormatting>
  <conditionalFormatting sqref="G7:G10">
    <cfRule type="top10" dxfId="652" priority="651" bottom="1" rank="1"/>
  </conditionalFormatting>
  <conditionalFormatting sqref="H7:H10">
    <cfRule type="top10" dxfId="651" priority="650" rank="1"/>
  </conditionalFormatting>
  <conditionalFormatting sqref="H7:H10">
    <cfRule type="top10" dxfId="650" priority="649" bottom="1" rank="1"/>
  </conditionalFormatting>
  <conditionalFormatting sqref="I7:I10">
    <cfRule type="top10" dxfId="649" priority="648" rank="1"/>
  </conditionalFormatting>
  <conditionalFormatting sqref="I7:I10">
    <cfRule type="top10" dxfId="648" priority="647" bottom="1" rank="1"/>
  </conditionalFormatting>
  <conditionalFormatting sqref="J7:J10">
    <cfRule type="top10" dxfId="647" priority="646" rank="1"/>
  </conditionalFormatting>
  <conditionalFormatting sqref="J7:J10">
    <cfRule type="top10" dxfId="646" priority="645" bottom="1" rank="1"/>
  </conditionalFormatting>
  <conditionalFormatting sqref="K7:K10">
    <cfRule type="top10" dxfId="645" priority="644" rank="1"/>
  </conditionalFormatting>
  <conditionalFormatting sqref="K7:K10">
    <cfRule type="top10" dxfId="644" priority="643" bottom="1" rank="1"/>
  </conditionalFormatting>
  <conditionalFormatting sqref="L7:L10">
    <cfRule type="top10" dxfId="643" priority="642" rank="1"/>
  </conditionalFormatting>
  <conditionalFormatting sqref="L7:L10">
    <cfRule type="top10" dxfId="642" priority="641" bottom="1" rank="1"/>
  </conditionalFormatting>
  <conditionalFormatting sqref="M7:M10">
    <cfRule type="top10" dxfId="641" priority="640" rank="1"/>
  </conditionalFormatting>
  <conditionalFormatting sqref="M7:M10">
    <cfRule type="top10" dxfId="640" priority="639" bottom="1" rank="1"/>
  </conditionalFormatting>
  <conditionalFormatting sqref="N7:N10">
    <cfRule type="top10" dxfId="639" priority="638" rank="1"/>
  </conditionalFormatting>
  <conditionalFormatting sqref="N7:N10">
    <cfRule type="top10" dxfId="638" priority="637" bottom="1" rank="1"/>
  </conditionalFormatting>
  <conditionalFormatting sqref="O7:O10">
    <cfRule type="top10" dxfId="637" priority="636" rank="1"/>
  </conditionalFormatting>
  <conditionalFormatting sqref="O7:O10">
    <cfRule type="top10" dxfId="636" priority="635" bottom="1" rank="1"/>
  </conditionalFormatting>
  <conditionalFormatting sqref="P7:P10">
    <cfRule type="top10" dxfId="635" priority="634" rank="1"/>
  </conditionalFormatting>
  <conditionalFormatting sqref="P7:P10">
    <cfRule type="top10" dxfId="634" priority="633" bottom="1" rank="1"/>
  </conditionalFormatting>
  <conditionalFormatting sqref="Q7:Q10">
    <cfRule type="top10" dxfId="633" priority="632" rank="1"/>
  </conditionalFormatting>
  <conditionalFormatting sqref="Q7:Q10">
    <cfRule type="top10" dxfId="632" priority="631" bottom="1" rank="1"/>
  </conditionalFormatting>
  <conditionalFormatting sqref="R7:R10">
    <cfRule type="top10" dxfId="631" priority="630" rank="1"/>
  </conditionalFormatting>
  <conditionalFormatting sqref="R7:R10">
    <cfRule type="top10" dxfId="630" priority="629" bottom="1" rank="1"/>
  </conditionalFormatting>
  <conditionalFormatting sqref="S7:S10">
    <cfRule type="top10" dxfId="629" priority="628" rank="1"/>
  </conditionalFormatting>
  <conditionalFormatting sqref="S7:S10">
    <cfRule type="top10" dxfId="628" priority="627" bottom="1" rank="1"/>
  </conditionalFormatting>
  <conditionalFormatting sqref="T7:T10">
    <cfRule type="top10" dxfId="627" priority="626" rank="1"/>
  </conditionalFormatting>
  <conditionalFormatting sqref="T7:T10">
    <cfRule type="top10" dxfId="626" priority="625" bottom="1" rank="1"/>
  </conditionalFormatting>
  <conditionalFormatting sqref="U7:U10">
    <cfRule type="top10" dxfId="625" priority="624" rank="1"/>
  </conditionalFormatting>
  <conditionalFormatting sqref="U7:U10">
    <cfRule type="top10" dxfId="624" priority="623" bottom="1" rank="1"/>
  </conditionalFormatting>
  <conditionalFormatting sqref="V7:V10">
    <cfRule type="top10" dxfId="623" priority="622" rank="1"/>
  </conditionalFormatting>
  <conditionalFormatting sqref="V7:V10">
    <cfRule type="top10" dxfId="622" priority="621" bottom="1" rank="1"/>
  </conditionalFormatting>
  <conditionalFormatting sqref="W7:W10">
    <cfRule type="top10" dxfId="621" priority="620" rank="1"/>
  </conditionalFormatting>
  <conditionalFormatting sqref="W7:W10">
    <cfRule type="top10" dxfId="620" priority="619" bottom="1" rank="1"/>
  </conditionalFormatting>
  <conditionalFormatting sqref="X7:X10">
    <cfRule type="top10" dxfId="619" priority="618" rank="1"/>
  </conditionalFormatting>
  <conditionalFormatting sqref="X7:X10">
    <cfRule type="top10" dxfId="618" priority="617" bottom="1" rank="1"/>
  </conditionalFormatting>
  <conditionalFormatting sqref="Y7:Y10">
    <cfRule type="top10" dxfId="617" priority="616" rank="1"/>
  </conditionalFormatting>
  <conditionalFormatting sqref="Y7:Y10">
    <cfRule type="top10" dxfId="616" priority="615" bottom="1" rank="1"/>
  </conditionalFormatting>
  <conditionalFormatting sqref="Z7:Z10">
    <cfRule type="top10" dxfId="615" priority="614" rank="1"/>
  </conditionalFormatting>
  <conditionalFormatting sqref="Z7:Z10">
    <cfRule type="top10" dxfId="614" priority="613" bottom="1" rank="1"/>
  </conditionalFormatting>
  <conditionalFormatting sqref="AA7:AA10">
    <cfRule type="top10" dxfId="613" priority="612" rank="1"/>
  </conditionalFormatting>
  <conditionalFormatting sqref="AA7:AA10">
    <cfRule type="top10" dxfId="612" priority="611" bottom="1" rank="1"/>
  </conditionalFormatting>
  <conditionalFormatting sqref="AB7:AB10">
    <cfRule type="top10" dxfId="611" priority="610" rank="1"/>
  </conditionalFormatting>
  <conditionalFormatting sqref="AB7:AB10">
    <cfRule type="top10" dxfId="610" priority="609" bottom="1" rank="1"/>
  </conditionalFormatting>
  <conditionalFormatting sqref="AC7:AC10">
    <cfRule type="top10" dxfId="609" priority="608" rank="1"/>
  </conditionalFormatting>
  <conditionalFormatting sqref="AC7:AC10">
    <cfRule type="top10" dxfId="608" priority="607" bottom="1" rank="1"/>
  </conditionalFormatting>
  <conditionalFormatting sqref="AD7:AD10">
    <cfRule type="top10" dxfId="607" priority="606" rank="1"/>
  </conditionalFormatting>
  <conditionalFormatting sqref="AD7:AD10">
    <cfRule type="top10" dxfId="606" priority="605" bottom="1" rank="1"/>
  </conditionalFormatting>
  <conditionalFormatting sqref="AE7:AE10">
    <cfRule type="top10" dxfId="605" priority="604" rank="1"/>
  </conditionalFormatting>
  <conditionalFormatting sqref="AE7:AE10">
    <cfRule type="top10" dxfId="604" priority="603" bottom="1" rank="1"/>
  </conditionalFormatting>
  <conditionalFormatting sqref="AF7:AF10">
    <cfRule type="top10" dxfId="603" priority="602" rank="1"/>
  </conditionalFormatting>
  <conditionalFormatting sqref="AF7:AF10">
    <cfRule type="top10" dxfId="602" priority="601" bottom="1" rank="1"/>
  </conditionalFormatting>
  <conditionalFormatting sqref="AG7:AG10">
    <cfRule type="top10" dxfId="601" priority="600" rank="1"/>
  </conditionalFormatting>
  <conditionalFormatting sqref="AG7:AG10">
    <cfRule type="top10" dxfId="600" priority="599" bottom="1" rank="1"/>
  </conditionalFormatting>
  <conditionalFormatting sqref="AH7:AH10">
    <cfRule type="top10" dxfId="599" priority="598" rank="1"/>
  </conditionalFormatting>
  <conditionalFormatting sqref="AH7:AH10">
    <cfRule type="top10" dxfId="598" priority="597" bottom="1" rank="1"/>
  </conditionalFormatting>
  <conditionalFormatting sqref="AI7:AI10">
    <cfRule type="top10" dxfId="597" priority="596" rank="1"/>
  </conditionalFormatting>
  <conditionalFormatting sqref="AI7:AI10">
    <cfRule type="top10" dxfId="596" priority="595" bottom="1" rank="1"/>
  </conditionalFormatting>
  <conditionalFormatting sqref="AJ7:AJ10">
    <cfRule type="top10" dxfId="595" priority="594" rank="1"/>
  </conditionalFormatting>
  <conditionalFormatting sqref="AJ7:AJ10">
    <cfRule type="top10" dxfId="594" priority="593" bottom="1" rank="1"/>
  </conditionalFormatting>
  <conditionalFormatting sqref="AK7:AK10">
    <cfRule type="top10" dxfId="593" priority="592" rank="1"/>
  </conditionalFormatting>
  <conditionalFormatting sqref="AK7:AK10">
    <cfRule type="top10" dxfId="592" priority="591" bottom="1" rank="1"/>
  </conditionalFormatting>
  <conditionalFormatting sqref="AL7:AL10">
    <cfRule type="top10" dxfId="591" priority="590" rank="1"/>
  </conditionalFormatting>
  <conditionalFormatting sqref="AL7:AL10">
    <cfRule type="top10" dxfId="590" priority="589" bottom="1" rank="1"/>
  </conditionalFormatting>
  <conditionalFormatting sqref="AM7:AM10">
    <cfRule type="top10" dxfId="589" priority="588" rank="1"/>
  </conditionalFormatting>
  <conditionalFormatting sqref="AM7:AM10">
    <cfRule type="top10" dxfId="588" priority="587" bottom="1" rank="1"/>
  </conditionalFormatting>
  <conditionalFormatting sqref="AN7:AN10">
    <cfRule type="top10" dxfId="587" priority="586" rank="1"/>
  </conditionalFormatting>
  <conditionalFormatting sqref="AN7:AN10">
    <cfRule type="top10" dxfId="586" priority="585" bottom="1" rank="1"/>
  </conditionalFormatting>
  <conditionalFormatting sqref="AO7:AO10">
    <cfRule type="top10" dxfId="585" priority="584" rank="1"/>
  </conditionalFormatting>
  <conditionalFormatting sqref="AO7:AO10">
    <cfRule type="top10" dxfId="584" priority="583" bottom="1" rank="1"/>
  </conditionalFormatting>
  <conditionalFormatting sqref="AP7:AP10">
    <cfRule type="top10" dxfId="583" priority="582" rank="1"/>
  </conditionalFormatting>
  <conditionalFormatting sqref="AP7:AP10">
    <cfRule type="top10" dxfId="582" priority="581" bottom="1" rank="1"/>
  </conditionalFormatting>
  <conditionalFormatting sqref="AQ7:AQ10">
    <cfRule type="top10" dxfId="581" priority="580" rank="1"/>
  </conditionalFormatting>
  <conditionalFormatting sqref="AQ7:AQ10">
    <cfRule type="top10" dxfId="580" priority="579" bottom="1" rank="1"/>
  </conditionalFormatting>
  <conditionalFormatting sqref="AR7:AR10">
    <cfRule type="top10" dxfId="579" priority="578" rank="1"/>
  </conditionalFormatting>
  <conditionalFormatting sqref="AR7:AR10">
    <cfRule type="top10" dxfId="578" priority="577" bottom="1" rank="1"/>
  </conditionalFormatting>
  <conditionalFormatting sqref="AS7:AS10">
    <cfRule type="top10" dxfId="577" priority="576" rank="1"/>
  </conditionalFormatting>
  <conditionalFormatting sqref="AS7:AS10">
    <cfRule type="top10" dxfId="576" priority="575" bottom="1" rank="1"/>
  </conditionalFormatting>
  <conditionalFormatting sqref="AT7:AT10">
    <cfRule type="top10" dxfId="575" priority="574" rank="1"/>
  </conditionalFormatting>
  <conditionalFormatting sqref="AT7:AT10">
    <cfRule type="top10" dxfId="574" priority="573" bottom="1" rank="1"/>
  </conditionalFormatting>
  <conditionalFormatting sqref="AU7:AU10">
    <cfRule type="top10" dxfId="573" priority="572" rank="1"/>
  </conditionalFormatting>
  <conditionalFormatting sqref="AU7:AU10">
    <cfRule type="top10" dxfId="572" priority="571" bottom="1" rank="1"/>
  </conditionalFormatting>
  <conditionalFormatting sqref="AV7:AV10">
    <cfRule type="top10" dxfId="571" priority="570" rank="1"/>
  </conditionalFormatting>
  <conditionalFormatting sqref="AV7:AV10">
    <cfRule type="top10" dxfId="570" priority="569" bottom="1" rank="1"/>
  </conditionalFormatting>
  <conditionalFormatting sqref="AW7:AW10">
    <cfRule type="top10" dxfId="569" priority="568" rank="1"/>
  </conditionalFormatting>
  <conditionalFormatting sqref="AW7:AW10">
    <cfRule type="top10" dxfId="568" priority="567" bottom="1" rank="1"/>
  </conditionalFormatting>
  <conditionalFormatting sqref="AX7:AX10">
    <cfRule type="top10" dxfId="567" priority="566" rank="1"/>
  </conditionalFormatting>
  <conditionalFormatting sqref="AX7:AX10">
    <cfRule type="top10" dxfId="566" priority="565" bottom="1" rank="1"/>
  </conditionalFormatting>
  <conditionalFormatting sqref="D12:D15">
    <cfRule type="top10" dxfId="565" priority="564" rank="1"/>
  </conditionalFormatting>
  <conditionalFormatting sqref="D12:D15">
    <cfRule type="top10" dxfId="564" priority="563" bottom="1" rank="1"/>
  </conditionalFormatting>
  <conditionalFormatting sqref="E12:E15">
    <cfRule type="top10" dxfId="563" priority="562" rank="1"/>
  </conditionalFormatting>
  <conditionalFormatting sqref="E12:E15">
    <cfRule type="top10" dxfId="562" priority="561" bottom="1" rank="1"/>
  </conditionalFormatting>
  <conditionalFormatting sqref="F12:F15">
    <cfRule type="top10" dxfId="561" priority="560" rank="1"/>
  </conditionalFormatting>
  <conditionalFormatting sqref="F12:F15">
    <cfRule type="top10" dxfId="560" priority="559" bottom="1" rank="1"/>
  </conditionalFormatting>
  <conditionalFormatting sqref="G12:G15">
    <cfRule type="top10" dxfId="559" priority="558" rank="1"/>
  </conditionalFormatting>
  <conditionalFormatting sqref="G12:G15">
    <cfRule type="top10" dxfId="558" priority="557" bottom="1" rank="1"/>
  </conditionalFormatting>
  <conditionalFormatting sqref="H12:H15">
    <cfRule type="top10" dxfId="557" priority="556" rank="1"/>
  </conditionalFormatting>
  <conditionalFormatting sqref="H12:H15">
    <cfRule type="top10" dxfId="556" priority="555" bottom="1" rank="1"/>
  </conditionalFormatting>
  <conditionalFormatting sqref="I12:I15">
    <cfRule type="top10" dxfId="555" priority="554" rank="1"/>
  </conditionalFormatting>
  <conditionalFormatting sqref="I12:I15">
    <cfRule type="top10" dxfId="554" priority="553" bottom="1" rank="1"/>
  </conditionalFormatting>
  <conditionalFormatting sqref="J12:J15">
    <cfRule type="top10" dxfId="553" priority="552" rank="1"/>
  </conditionalFormatting>
  <conditionalFormatting sqref="J12:J15">
    <cfRule type="top10" dxfId="552" priority="551" bottom="1" rank="1"/>
  </conditionalFormatting>
  <conditionalFormatting sqref="K12:K15">
    <cfRule type="top10" dxfId="551" priority="550" rank="1"/>
  </conditionalFormatting>
  <conditionalFormatting sqref="K12:K15">
    <cfRule type="top10" dxfId="550" priority="549" bottom="1" rank="1"/>
  </conditionalFormatting>
  <conditionalFormatting sqref="L12:L15">
    <cfRule type="top10" dxfId="549" priority="548" rank="1"/>
  </conditionalFormatting>
  <conditionalFormatting sqref="L12:L15">
    <cfRule type="top10" dxfId="548" priority="547" bottom="1" rank="1"/>
  </conditionalFormatting>
  <conditionalFormatting sqref="M12:M15">
    <cfRule type="top10" dxfId="547" priority="546" rank="1"/>
  </conditionalFormatting>
  <conditionalFormatting sqref="M12:M15">
    <cfRule type="top10" dxfId="546" priority="545" bottom="1" rank="1"/>
  </conditionalFormatting>
  <conditionalFormatting sqref="N12:N15">
    <cfRule type="top10" dxfId="545" priority="544" rank="1"/>
  </conditionalFormatting>
  <conditionalFormatting sqref="N12:N15">
    <cfRule type="top10" dxfId="544" priority="543" bottom="1" rank="1"/>
  </conditionalFormatting>
  <conditionalFormatting sqref="O12:O15">
    <cfRule type="top10" dxfId="543" priority="542" rank="1"/>
  </conditionalFormatting>
  <conditionalFormatting sqref="O12:O15">
    <cfRule type="top10" dxfId="542" priority="541" bottom="1" rank="1"/>
  </conditionalFormatting>
  <conditionalFormatting sqref="P12:P15">
    <cfRule type="top10" dxfId="541" priority="540" rank="1"/>
  </conditionalFormatting>
  <conditionalFormatting sqref="P12:P15">
    <cfRule type="top10" dxfId="540" priority="539" bottom="1" rank="1"/>
  </conditionalFormatting>
  <conditionalFormatting sqref="Q12:Q15">
    <cfRule type="top10" dxfId="539" priority="538" rank="1"/>
  </conditionalFormatting>
  <conditionalFormatting sqref="Q12:Q15">
    <cfRule type="top10" dxfId="538" priority="537" bottom="1" rank="1"/>
  </conditionalFormatting>
  <conditionalFormatting sqref="R12:R15">
    <cfRule type="top10" dxfId="537" priority="536" rank="1"/>
  </conditionalFormatting>
  <conditionalFormatting sqref="R12:R15">
    <cfRule type="top10" dxfId="536" priority="535" bottom="1" rank="1"/>
  </conditionalFormatting>
  <conditionalFormatting sqref="S12:S15">
    <cfRule type="top10" dxfId="535" priority="534" rank="1"/>
  </conditionalFormatting>
  <conditionalFormatting sqref="S12:S15">
    <cfRule type="top10" dxfId="534" priority="533" bottom="1" rank="1"/>
  </conditionalFormatting>
  <conditionalFormatting sqref="T12:T15">
    <cfRule type="top10" dxfId="533" priority="532" rank="1"/>
  </conditionalFormatting>
  <conditionalFormatting sqref="T12:T15">
    <cfRule type="top10" dxfId="532" priority="531" bottom="1" rank="1"/>
  </conditionalFormatting>
  <conditionalFormatting sqref="U12:U15">
    <cfRule type="top10" dxfId="531" priority="530" rank="1"/>
  </conditionalFormatting>
  <conditionalFormatting sqref="U12:U15">
    <cfRule type="top10" dxfId="530" priority="529" bottom="1" rank="1"/>
  </conditionalFormatting>
  <conditionalFormatting sqref="V12:V15">
    <cfRule type="top10" dxfId="529" priority="528" rank="1"/>
  </conditionalFormatting>
  <conditionalFormatting sqref="V12:V15">
    <cfRule type="top10" dxfId="528" priority="527" bottom="1" rank="1"/>
  </conditionalFormatting>
  <conditionalFormatting sqref="W12:W15">
    <cfRule type="top10" dxfId="527" priority="526" rank="1"/>
  </conditionalFormatting>
  <conditionalFormatting sqref="W12:W15">
    <cfRule type="top10" dxfId="526" priority="525" bottom="1" rank="1"/>
  </conditionalFormatting>
  <conditionalFormatting sqref="X12:X15">
    <cfRule type="top10" dxfId="525" priority="524" rank="1"/>
  </conditionalFormatting>
  <conditionalFormatting sqref="X12:X15">
    <cfRule type="top10" dxfId="524" priority="523" bottom="1" rank="1"/>
  </conditionalFormatting>
  <conditionalFormatting sqref="Y12:Y15">
    <cfRule type="top10" dxfId="523" priority="522" rank="1"/>
  </conditionalFormatting>
  <conditionalFormatting sqref="Y12:Y15">
    <cfRule type="top10" dxfId="522" priority="521" bottom="1" rank="1"/>
  </conditionalFormatting>
  <conditionalFormatting sqref="Z12:Z15">
    <cfRule type="top10" dxfId="521" priority="520" rank="1"/>
  </conditionalFormatting>
  <conditionalFormatting sqref="Z12:Z15">
    <cfRule type="top10" dxfId="520" priority="519" bottom="1" rank="1"/>
  </conditionalFormatting>
  <conditionalFormatting sqref="AA12:AA15">
    <cfRule type="top10" dxfId="519" priority="518" rank="1"/>
  </conditionalFormatting>
  <conditionalFormatting sqref="AA12:AA15">
    <cfRule type="top10" dxfId="518" priority="517" bottom="1" rank="1"/>
  </conditionalFormatting>
  <conditionalFormatting sqref="AB12:AB15">
    <cfRule type="top10" dxfId="517" priority="516" rank="1"/>
  </conditionalFormatting>
  <conditionalFormatting sqref="AB12:AB15">
    <cfRule type="top10" dxfId="516" priority="515" bottom="1" rank="1"/>
  </conditionalFormatting>
  <conditionalFormatting sqref="AC12:AC15">
    <cfRule type="top10" dxfId="515" priority="514" rank="1"/>
  </conditionalFormatting>
  <conditionalFormatting sqref="AC12:AC15">
    <cfRule type="top10" dxfId="514" priority="513" bottom="1" rank="1"/>
  </conditionalFormatting>
  <conditionalFormatting sqref="AD12:AD15">
    <cfRule type="top10" dxfId="513" priority="512" rank="1"/>
  </conditionalFormatting>
  <conditionalFormatting sqref="AD12:AD15">
    <cfRule type="top10" dxfId="512" priority="511" bottom="1" rank="1"/>
  </conditionalFormatting>
  <conditionalFormatting sqref="AE12:AE15">
    <cfRule type="top10" dxfId="511" priority="510" rank="1"/>
  </conditionalFormatting>
  <conditionalFormatting sqref="AE12:AE15">
    <cfRule type="top10" dxfId="510" priority="509" bottom="1" rank="1"/>
  </conditionalFormatting>
  <conditionalFormatting sqref="AF12:AF15">
    <cfRule type="top10" dxfId="509" priority="508" rank="1"/>
  </conditionalFormatting>
  <conditionalFormatting sqref="AF12:AF15">
    <cfRule type="top10" dxfId="508" priority="507" bottom="1" rank="1"/>
  </conditionalFormatting>
  <conditionalFormatting sqref="AG12:AG15">
    <cfRule type="top10" dxfId="507" priority="506" rank="1"/>
  </conditionalFormatting>
  <conditionalFormatting sqref="AG12:AG15">
    <cfRule type="top10" dxfId="506" priority="505" bottom="1" rank="1"/>
  </conditionalFormatting>
  <conditionalFormatting sqref="AH12:AH15">
    <cfRule type="top10" dxfId="505" priority="504" rank="1"/>
  </conditionalFormatting>
  <conditionalFormatting sqref="AH12:AH15">
    <cfRule type="top10" dxfId="504" priority="503" bottom="1" rank="1"/>
  </conditionalFormatting>
  <conditionalFormatting sqref="AI12:AI15">
    <cfRule type="top10" dxfId="503" priority="502" rank="1"/>
  </conditionalFormatting>
  <conditionalFormatting sqref="AI12:AI15">
    <cfRule type="top10" dxfId="502" priority="501" bottom="1" rank="1"/>
  </conditionalFormatting>
  <conditionalFormatting sqref="AJ12:AJ15">
    <cfRule type="top10" dxfId="501" priority="500" rank="1"/>
  </conditionalFormatting>
  <conditionalFormatting sqref="AJ12:AJ15">
    <cfRule type="top10" dxfId="500" priority="499" bottom="1" rank="1"/>
  </conditionalFormatting>
  <conditionalFormatting sqref="AK12:AK15">
    <cfRule type="top10" dxfId="499" priority="498" rank="1"/>
  </conditionalFormatting>
  <conditionalFormatting sqref="AK12:AK15">
    <cfRule type="top10" dxfId="498" priority="497" bottom="1" rank="1"/>
  </conditionalFormatting>
  <conditionalFormatting sqref="AL12:AL15">
    <cfRule type="top10" dxfId="497" priority="496" rank="1"/>
  </conditionalFormatting>
  <conditionalFormatting sqref="AL12:AL15">
    <cfRule type="top10" dxfId="496" priority="495" bottom="1" rank="1"/>
  </conditionalFormatting>
  <conditionalFormatting sqref="AM12:AM15">
    <cfRule type="top10" dxfId="495" priority="494" rank="1"/>
  </conditionalFormatting>
  <conditionalFormatting sqref="AM12:AM15">
    <cfRule type="top10" dxfId="494" priority="493" bottom="1" rank="1"/>
  </conditionalFormatting>
  <conditionalFormatting sqref="AN12:AN15">
    <cfRule type="top10" dxfId="493" priority="492" rank="1"/>
  </conditionalFormatting>
  <conditionalFormatting sqref="AN12:AN15">
    <cfRule type="top10" dxfId="492" priority="491" bottom="1" rank="1"/>
  </conditionalFormatting>
  <conditionalFormatting sqref="AO12:AO15">
    <cfRule type="top10" dxfId="491" priority="490" rank="1"/>
  </conditionalFormatting>
  <conditionalFormatting sqref="AO12:AO15">
    <cfRule type="top10" dxfId="490" priority="489" bottom="1" rank="1"/>
  </conditionalFormatting>
  <conditionalFormatting sqref="AP12:AP15">
    <cfRule type="top10" dxfId="489" priority="488" rank="1"/>
  </conditionalFormatting>
  <conditionalFormatting sqref="AP12:AP15">
    <cfRule type="top10" dxfId="488" priority="487" bottom="1" rank="1"/>
  </conditionalFormatting>
  <conditionalFormatting sqref="AQ12:AQ15">
    <cfRule type="top10" dxfId="487" priority="486" rank="1"/>
  </conditionalFormatting>
  <conditionalFormatting sqref="AQ12:AQ15">
    <cfRule type="top10" dxfId="486" priority="485" bottom="1" rank="1"/>
  </conditionalFormatting>
  <conditionalFormatting sqref="AR12:AR15">
    <cfRule type="top10" dxfId="485" priority="484" rank="1"/>
  </conditionalFormatting>
  <conditionalFormatting sqref="AR12:AR15">
    <cfRule type="top10" dxfId="484" priority="483" bottom="1" rank="1"/>
  </conditionalFormatting>
  <conditionalFormatting sqref="AS12:AS15">
    <cfRule type="top10" dxfId="483" priority="482" rank="1"/>
  </conditionalFormatting>
  <conditionalFormatting sqref="AS12:AS15">
    <cfRule type="top10" dxfId="482" priority="481" bottom="1" rank="1"/>
  </conditionalFormatting>
  <conditionalFormatting sqref="AT12:AT15">
    <cfRule type="top10" dxfId="481" priority="480" rank="1"/>
  </conditionalFormatting>
  <conditionalFormatting sqref="AT12:AT15">
    <cfRule type="top10" dxfId="480" priority="479" bottom="1" rank="1"/>
  </conditionalFormatting>
  <conditionalFormatting sqref="AU12:AU15">
    <cfRule type="top10" dxfId="479" priority="478" rank="1"/>
  </conditionalFormatting>
  <conditionalFormatting sqref="AU12:AU15">
    <cfRule type="top10" dxfId="478" priority="477" bottom="1" rank="1"/>
  </conditionalFormatting>
  <conditionalFormatting sqref="AV12:AV15">
    <cfRule type="top10" dxfId="477" priority="476" rank="1"/>
  </conditionalFormatting>
  <conditionalFormatting sqref="AV12:AV15">
    <cfRule type="top10" dxfId="476" priority="475" bottom="1" rank="1"/>
  </conditionalFormatting>
  <conditionalFormatting sqref="AW12:AW15">
    <cfRule type="top10" dxfId="475" priority="474" rank="1"/>
  </conditionalFormatting>
  <conditionalFormatting sqref="AW12:AW15">
    <cfRule type="top10" dxfId="474" priority="473" bottom="1" rank="1"/>
  </conditionalFormatting>
  <conditionalFormatting sqref="AX12:AX15">
    <cfRule type="top10" dxfId="473" priority="472" rank="1"/>
  </conditionalFormatting>
  <conditionalFormatting sqref="AX12:AX15">
    <cfRule type="top10" dxfId="472" priority="471" bottom="1" rank="1"/>
  </conditionalFormatting>
  <conditionalFormatting sqref="D17:D20">
    <cfRule type="top10" dxfId="471" priority="470" rank="1"/>
  </conditionalFormatting>
  <conditionalFormatting sqref="D17:D20">
    <cfRule type="top10" dxfId="470" priority="469" bottom="1" rank="1"/>
  </conditionalFormatting>
  <conditionalFormatting sqref="E17:E20">
    <cfRule type="top10" dxfId="469" priority="468" rank="1"/>
  </conditionalFormatting>
  <conditionalFormatting sqref="E17:E20">
    <cfRule type="top10" dxfId="468" priority="467" bottom="1" rank="1"/>
  </conditionalFormatting>
  <conditionalFormatting sqref="F17:F20">
    <cfRule type="top10" dxfId="467" priority="466" rank="1"/>
  </conditionalFormatting>
  <conditionalFormatting sqref="F17:F20">
    <cfRule type="top10" dxfId="466" priority="465" bottom="1" rank="1"/>
  </conditionalFormatting>
  <conditionalFormatting sqref="G17:G20">
    <cfRule type="top10" dxfId="465" priority="464" rank="1"/>
  </conditionalFormatting>
  <conditionalFormatting sqref="G17:G20">
    <cfRule type="top10" dxfId="464" priority="463" bottom="1" rank="1"/>
  </conditionalFormatting>
  <conditionalFormatting sqref="H17:H20">
    <cfRule type="top10" dxfId="463" priority="462" rank="1"/>
  </conditionalFormatting>
  <conditionalFormatting sqref="H17:H20">
    <cfRule type="top10" dxfId="462" priority="461" bottom="1" rank="1"/>
  </conditionalFormatting>
  <conditionalFormatting sqref="I17:I20">
    <cfRule type="top10" dxfId="461" priority="460" rank="1"/>
  </conditionalFormatting>
  <conditionalFormatting sqref="I17:I20">
    <cfRule type="top10" dxfId="460" priority="459" bottom="1" rank="1"/>
  </conditionalFormatting>
  <conditionalFormatting sqref="J17:J20">
    <cfRule type="top10" dxfId="459" priority="458" rank="1"/>
  </conditionalFormatting>
  <conditionalFormatting sqref="J17:J20">
    <cfRule type="top10" dxfId="458" priority="457" bottom="1" rank="1"/>
  </conditionalFormatting>
  <conditionalFormatting sqref="K17:K20">
    <cfRule type="top10" dxfId="457" priority="456" rank="1"/>
  </conditionalFormatting>
  <conditionalFormatting sqref="K17:K20">
    <cfRule type="top10" dxfId="456" priority="455" bottom="1" rank="1"/>
  </conditionalFormatting>
  <conditionalFormatting sqref="L17:L20">
    <cfRule type="top10" dxfId="455" priority="454" rank="1"/>
  </conditionalFormatting>
  <conditionalFormatting sqref="L17:L20">
    <cfRule type="top10" dxfId="454" priority="453" bottom="1" rank="1"/>
  </conditionalFormatting>
  <conditionalFormatting sqref="M17:M20">
    <cfRule type="top10" dxfId="453" priority="452" rank="1"/>
  </conditionalFormatting>
  <conditionalFormatting sqref="M17:M20">
    <cfRule type="top10" dxfId="452" priority="451" bottom="1" rank="1"/>
  </conditionalFormatting>
  <conditionalFormatting sqref="N17:N20">
    <cfRule type="top10" dxfId="451" priority="450" rank="1"/>
  </conditionalFormatting>
  <conditionalFormatting sqref="N17:N20">
    <cfRule type="top10" dxfId="450" priority="449" bottom="1" rank="1"/>
  </conditionalFormatting>
  <conditionalFormatting sqref="O17:O20">
    <cfRule type="top10" dxfId="449" priority="448" rank="1"/>
  </conditionalFormatting>
  <conditionalFormatting sqref="O17:O20">
    <cfRule type="top10" dxfId="448" priority="447" bottom="1" rank="1"/>
  </conditionalFormatting>
  <conditionalFormatting sqref="P17:P20">
    <cfRule type="top10" dxfId="447" priority="446" rank="1"/>
  </conditionalFormatting>
  <conditionalFormatting sqref="P17:P20">
    <cfRule type="top10" dxfId="446" priority="445" bottom="1" rank="1"/>
  </conditionalFormatting>
  <conditionalFormatting sqref="Q17:Q20">
    <cfRule type="top10" dxfId="445" priority="444" rank="1"/>
  </conditionalFormatting>
  <conditionalFormatting sqref="Q17:Q20">
    <cfRule type="top10" dxfId="444" priority="443" bottom="1" rank="1"/>
  </conditionalFormatting>
  <conditionalFormatting sqref="R17:R20">
    <cfRule type="top10" dxfId="443" priority="442" rank="1"/>
  </conditionalFormatting>
  <conditionalFormatting sqref="R17:R20">
    <cfRule type="top10" dxfId="442" priority="441" bottom="1" rank="1"/>
  </conditionalFormatting>
  <conditionalFormatting sqref="S17:S20">
    <cfRule type="top10" dxfId="441" priority="440" rank="1"/>
  </conditionalFormatting>
  <conditionalFormatting sqref="S17:S20">
    <cfRule type="top10" dxfId="440" priority="439" bottom="1" rank="1"/>
  </conditionalFormatting>
  <conditionalFormatting sqref="T17:T20">
    <cfRule type="top10" dxfId="439" priority="438" rank="1"/>
  </conditionalFormatting>
  <conditionalFormatting sqref="T17:T20">
    <cfRule type="top10" dxfId="438" priority="437" bottom="1" rank="1"/>
  </conditionalFormatting>
  <conditionalFormatting sqref="U17:U20">
    <cfRule type="top10" dxfId="437" priority="436" rank="1"/>
  </conditionalFormatting>
  <conditionalFormatting sqref="U17:U20">
    <cfRule type="top10" dxfId="436" priority="435" bottom="1" rank="1"/>
  </conditionalFormatting>
  <conditionalFormatting sqref="V17:V20">
    <cfRule type="top10" dxfId="435" priority="434" rank="1"/>
  </conditionalFormatting>
  <conditionalFormatting sqref="V17:V20">
    <cfRule type="top10" dxfId="434" priority="433" bottom="1" rank="1"/>
  </conditionalFormatting>
  <conditionalFormatting sqref="W17:W20">
    <cfRule type="top10" dxfId="433" priority="432" rank="1"/>
  </conditionalFormatting>
  <conditionalFormatting sqref="W17:W20">
    <cfRule type="top10" dxfId="432" priority="431" bottom="1" rank="1"/>
  </conditionalFormatting>
  <conditionalFormatting sqref="X17:X20">
    <cfRule type="top10" dxfId="431" priority="430" rank="1"/>
  </conditionalFormatting>
  <conditionalFormatting sqref="X17:X20">
    <cfRule type="top10" dxfId="430" priority="429" bottom="1" rank="1"/>
  </conditionalFormatting>
  <conditionalFormatting sqref="Y17:Y20">
    <cfRule type="top10" dxfId="429" priority="428" rank="1"/>
  </conditionalFormatting>
  <conditionalFormatting sqref="Y17:Y20">
    <cfRule type="top10" dxfId="428" priority="427" bottom="1" rank="1"/>
  </conditionalFormatting>
  <conditionalFormatting sqref="Z17:Z20">
    <cfRule type="top10" dxfId="427" priority="426" rank="1"/>
  </conditionalFormatting>
  <conditionalFormatting sqref="Z17:Z20">
    <cfRule type="top10" dxfId="426" priority="425" bottom="1" rank="1"/>
  </conditionalFormatting>
  <conditionalFormatting sqref="AA17:AA20">
    <cfRule type="top10" dxfId="425" priority="424" rank="1"/>
  </conditionalFormatting>
  <conditionalFormatting sqref="AA17:AA20">
    <cfRule type="top10" dxfId="424" priority="423" bottom="1" rank="1"/>
  </conditionalFormatting>
  <conditionalFormatting sqref="AB17:AB20">
    <cfRule type="top10" dxfId="423" priority="422" rank="1"/>
  </conditionalFormatting>
  <conditionalFormatting sqref="AB17:AB20">
    <cfRule type="top10" dxfId="422" priority="421" bottom="1" rank="1"/>
  </conditionalFormatting>
  <conditionalFormatting sqref="AC17:AC20">
    <cfRule type="top10" dxfId="421" priority="420" rank="1"/>
  </conditionalFormatting>
  <conditionalFormatting sqref="AC17:AC20">
    <cfRule type="top10" dxfId="420" priority="419" bottom="1" rank="1"/>
  </conditionalFormatting>
  <conditionalFormatting sqref="AD17:AD20">
    <cfRule type="top10" dxfId="419" priority="418" rank="1"/>
  </conditionalFormatting>
  <conditionalFormatting sqref="AD17:AD20">
    <cfRule type="top10" dxfId="418" priority="417" bottom="1" rank="1"/>
  </conditionalFormatting>
  <conditionalFormatting sqref="AE17:AE20">
    <cfRule type="top10" dxfId="417" priority="416" rank="1"/>
  </conditionalFormatting>
  <conditionalFormatting sqref="AE17:AE20">
    <cfRule type="top10" dxfId="416" priority="415" bottom="1" rank="1"/>
  </conditionalFormatting>
  <conditionalFormatting sqref="AF17:AF20">
    <cfRule type="top10" dxfId="415" priority="414" rank="1"/>
  </conditionalFormatting>
  <conditionalFormatting sqref="AF17:AF20">
    <cfRule type="top10" dxfId="414" priority="413" bottom="1" rank="1"/>
  </conditionalFormatting>
  <conditionalFormatting sqref="AG17:AG20">
    <cfRule type="top10" dxfId="413" priority="412" rank="1"/>
  </conditionalFormatting>
  <conditionalFormatting sqref="AG17:AG20">
    <cfRule type="top10" dxfId="412" priority="411" bottom="1" rank="1"/>
  </conditionalFormatting>
  <conditionalFormatting sqref="AH17:AH20">
    <cfRule type="top10" dxfId="411" priority="410" rank="1"/>
  </conditionalFormatting>
  <conditionalFormatting sqref="AH17:AH20">
    <cfRule type="top10" dxfId="410" priority="409" bottom="1" rank="1"/>
  </conditionalFormatting>
  <conditionalFormatting sqref="AI17:AI20">
    <cfRule type="top10" dxfId="409" priority="408" rank="1"/>
  </conditionalFormatting>
  <conditionalFormatting sqref="AI17:AI20">
    <cfRule type="top10" dxfId="408" priority="407" bottom="1" rank="1"/>
  </conditionalFormatting>
  <conditionalFormatting sqref="AJ17:AJ20">
    <cfRule type="top10" dxfId="407" priority="406" rank="1"/>
  </conditionalFormatting>
  <conditionalFormatting sqref="AJ17:AJ20">
    <cfRule type="top10" dxfId="406" priority="405" bottom="1" rank="1"/>
  </conditionalFormatting>
  <conditionalFormatting sqref="AK17:AK20">
    <cfRule type="top10" dxfId="405" priority="404" rank="1"/>
  </conditionalFormatting>
  <conditionalFormatting sqref="AK17:AK20">
    <cfRule type="top10" dxfId="404" priority="403" bottom="1" rank="1"/>
  </conditionalFormatting>
  <conditionalFormatting sqref="AL17:AL20">
    <cfRule type="top10" dxfId="403" priority="402" rank="1"/>
  </conditionalFormatting>
  <conditionalFormatting sqref="AL17:AL20">
    <cfRule type="top10" dxfId="402" priority="401" bottom="1" rank="1"/>
  </conditionalFormatting>
  <conditionalFormatting sqref="AM17:AM20">
    <cfRule type="top10" dxfId="401" priority="400" rank="1"/>
  </conditionalFormatting>
  <conditionalFormatting sqref="AM17:AM20">
    <cfRule type="top10" dxfId="400" priority="399" bottom="1" rank="1"/>
  </conditionalFormatting>
  <conditionalFormatting sqref="AN17:AN20">
    <cfRule type="top10" dxfId="399" priority="398" rank="1"/>
  </conditionalFormatting>
  <conditionalFormatting sqref="AN17:AN20">
    <cfRule type="top10" dxfId="398" priority="397" bottom="1" rank="1"/>
  </conditionalFormatting>
  <conditionalFormatting sqref="AO17:AO20">
    <cfRule type="top10" dxfId="397" priority="396" rank="1"/>
  </conditionalFormatting>
  <conditionalFormatting sqref="AO17:AO20">
    <cfRule type="top10" dxfId="396" priority="395" bottom="1" rank="1"/>
  </conditionalFormatting>
  <conditionalFormatting sqref="AP17:AP20">
    <cfRule type="top10" dxfId="395" priority="394" rank="1"/>
  </conditionalFormatting>
  <conditionalFormatting sqref="AP17:AP20">
    <cfRule type="top10" dxfId="394" priority="393" bottom="1" rank="1"/>
  </conditionalFormatting>
  <conditionalFormatting sqref="AQ17:AQ20">
    <cfRule type="top10" dxfId="393" priority="392" rank="1"/>
  </conditionalFormatting>
  <conditionalFormatting sqref="AQ17:AQ20">
    <cfRule type="top10" dxfId="392" priority="391" bottom="1" rank="1"/>
  </conditionalFormatting>
  <conditionalFormatting sqref="AR17:AR20">
    <cfRule type="top10" dxfId="391" priority="390" rank="1"/>
  </conditionalFormatting>
  <conditionalFormatting sqref="AR17:AR20">
    <cfRule type="top10" dxfId="390" priority="389" bottom="1" rank="1"/>
  </conditionalFormatting>
  <conditionalFormatting sqref="AS17:AS20">
    <cfRule type="top10" dxfId="389" priority="388" rank="1"/>
  </conditionalFormatting>
  <conditionalFormatting sqref="AS17:AS20">
    <cfRule type="top10" dxfId="388" priority="387" bottom="1" rank="1"/>
  </conditionalFormatting>
  <conditionalFormatting sqref="AT17:AT20">
    <cfRule type="top10" dxfId="387" priority="386" rank="1"/>
  </conditionalFormatting>
  <conditionalFormatting sqref="AT17:AT20">
    <cfRule type="top10" dxfId="386" priority="385" bottom="1" rank="1"/>
  </conditionalFormatting>
  <conditionalFormatting sqref="AU17:AU20">
    <cfRule type="top10" dxfId="385" priority="384" rank="1"/>
  </conditionalFormatting>
  <conditionalFormatting sqref="AU17:AU20">
    <cfRule type="top10" dxfId="384" priority="383" bottom="1" rank="1"/>
  </conditionalFormatting>
  <conditionalFormatting sqref="AV17:AV20">
    <cfRule type="top10" dxfId="383" priority="382" rank="1"/>
  </conditionalFormatting>
  <conditionalFormatting sqref="AV17:AV20">
    <cfRule type="top10" dxfId="382" priority="381" bottom="1" rank="1"/>
  </conditionalFormatting>
  <conditionalFormatting sqref="AW17:AW20">
    <cfRule type="top10" dxfId="381" priority="380" rank="1"/>
  </conditionalFormatting>
  <conditionalFormatting sqref="AW17:AW20">
    <cfRule type="top10" dxfId="380" priority="379" bottom="1" rank="1"/>
  </conditionalFormatting>
  <conditionalFormatting sqref="AX17:AX20">
    <cfRule type="top10" dxfId="379" priority="378" rank="1"/>
  </conditionalFormatting>
  <conditionalFormatting sqref="AX17:AX20">
    <cfRule type="top10" dxfId="378" priority="377" bottom="1" rank="1"/>
  </conditionalFormatting>
  <conditionalFormatting sqref="D22:D25">
    <cfRule type="top10" dxfId="377" priority="376" rank="1"/>
  </conditionalFormatting>
  <conditionalFormatting sqref="D22:D25">
    <cfRule type="top10" dxfId="376" priority="375" bottom="1" rank="1"/>
  </conditionalFormatting>
  <conditionalFormatting sqref="E22:E25">
    <cfRule type="top10" dxfId="375" priority="374" rank="1"/>
  </conditionalFormatting>
  <conditionalFormatting sqref="E22:E25">
    <cfRule type="top10" dxfId="374" priority="373" bottom="1" rank="1"/>
  </conditionalFormatting>
  <conditionalFormatting sqref="F22:F25">
    <cfRule type="top10" dxfId="373" priority="372" rank="1"/>
  </conditionalFormatting>
  <conditionalFormatting sqref="F22:F25">
    <cfRule type="top10" dxfId="372" priority="371" bottom="1" rank="1"/>
  </conditionalFormatting>
  <conditionalFormatting sqref="G22:G25">
    <cfRule type="top10" dxfId="371" priority="370" rank="1"/>
  </conditionalFormatting>
  <conditionalFormatting sqref="G22:G25">
    <cfRule type="top10" dxfId="370" priority="369" bottom="1" rank="1"/>
  </conditionalFormatting>
  <conditionalFormatting sqref="H22:H25">
    <cfRule type="top10" dxfId="369" priority="368" rank="1"/>
  </conditionalFormatting>
  <conditionalFormatting sqref="H22:H25">
    <cfRule type="top10" dxfId="368" priority="367" bottom="1" rank="1"/>
  </conditionalFormatting>
  <conditionalFormatting sqref="I22:I25">
    <cfRule type="top10" dxfId="367" priority="366" rank="1"/>
  </conditionalFormatting>
  <conditionalFormatting sqref="I22:I25">
    <cfRule type="top10" dxfId="366" priority="365" bottom="1" rank="1"/>
  </conditionalFormatting>
  <conditionalFormatting sqref="J22:J25">
    <cfRule type="top10" dxfId="365" priority="364" rank="1"/>
  </conditionalFormatting>
  <conditionalFormatting sqref="J22:J25">
    <cfRule type="top10" dxfId="364" priority="363" bottom="1" rank="1"/>
  </conditionalFormatting>
  <conditionalFormatting sqref="K22:K25">
    <cfRule type="top10" dxfId="363" priority="362" rank="1"/>
  </conditionalFormatting>
  <conditionalFormatting sqref="K22:K25">
    <cfRule type="top10" dxfId="362" priority="361" bottom="1" rank="1"/>
  </conditionalFormatting>
  <conditionalFormatting sqref="L22:L25">
    <cfRule type="top10" dxfId="361" priority="360" rank="1"/>
  </conditionalFormatting>
  <conditionalFormatting sqref="L22:L25">
    <cfRule type="top10" dxfId="360" priority="359" bottom="1" rank="1"/>
  </conditionalFormatting>
  <conditionalFormatting sqref="M22:M25">
    <cfRule type="top10" dxfId="359" priority="358" rank="1"/>
  </conditionalFormatting>
  <conditionalFormatting sqref="M22:M25">
    <cfRule type="top10" dxfId="358" priority="357" bottom="1" rank="1"/>
  </conditionalFormatting>
  <conditionalFormatting sqref="N22:N25">
    <cfRule type="top10" dxfId="357" priority="356" rank="1"/>
  </conditionalFormatting>
  <conditionalFormatting sqref="N22:N25">
    <cfRule type="top10" dxfId="356" priority="355" bottom="1" rank="1"/>
  </conditionalFormatting>
  <conditionalFormatting sqref="O22:O25">
    <cfRule type="top10" dxfId="355" priority="354" rank="1"/>
  </conditionalFormatting>
  <conditionalFormatting sqref="O22:O25">
    <cfRule type="top10" dxfId="354" priority="353" bottom="1" rank="1"/>
  </conditionalFormatting>
  <conditionalFormatting sqref="P22:P25">
    <cfRule type="top10" dxfId="353" priority="352" rank="1"/>
  </conditionalFormatting>
  <conditionalFormatting sqref="P22:P25">
    <cfRule type="top10" dxfId="352" priority="351" bottom="1" rank="1"/>
  </conditionalFormatting>
  <conditionalFormatting sqref="Q22:Q25">
    <cfRule type="top10" dxfId="351" priority="350" rank="1"/>
  </conditionalFormatting>
  <conditionalFormatting sqref="Q22:Q25">
    <cfRule type="top10" dxfId="350" priority="349" bottom="1" rank="1"/>
  </conditionalFormatting>
  <conditionalFormatting sqref="R22:R25">
    <cfRule type="top10" dxfId="349" priority="348" rank="1"/>
  </conditionalFormatting>
  <conditionalFormatting sqref="R22:R25">
    <cfRule type="top10" dxfId="348" priority="347" bottom="1" rank="1"/>
  </conditionalFormatting>
  <conditionalFormatting sqref="S22:S25">
    <cfRule type="top10" dxfId="347" priority="346" rank="1"/>
  </conditionalFormatting>
  <conditionalFormatting sqref="S22:S25">
    <cfRule type="top10" dxfId="346" priority="345" bottom="1" rank="1"/>
  </conditionalFormatting>
  <conditionalFormatting sqref="T22:T25">
    <cfRule type="top10" dxfId="345" priority="344" rank="1"/>
  </conditionalFormatting>
  <conditionalFormatting sqref="T22:T25">
    <cfRule type="top10" dxfId="344" priority="343" bottom="1" rank="1"/>
  </conditionalFormatting>
  <conditionalFormatting sqref="U22:U25">
    <cfRule type="top10" dxfId="343" priority="342" rank="1"/>
  </conditionalFormatting>
  <conditionalFormatting sqref="U22:U25">
    <cfRule type="top10" dxfId="342" priority="341" bottom="1" rank="1"/>
  </conditionalFormatting>
  <conditionalFormatting sqref="V22:V25">
    <cfRule type="top10" dxfId="341" priority="340" rank="1"/>
  </conditionalFormatting>
  <conditionalFormatting sqref="V22:V25">
    <cfRule type="top10" dxfId="340" priority="339" bottom="1" rank="1"/>
  </conditionalFormatting>
  <conditionalFormatting sqref="W22:W25">
    <cfRule type="top10" dxfId="339" priority="338" rank="1"/>
  </conditionalFormatting>
  <conditionalFormatting sqref="W22:W25">
    <cfRule type="top10" dxfId="338" priority="337" bottom="1" rank="1"/>
  </conditionalFormatting>
  <conditionalFormatting sqref="X22:X25">
    <cfRule type="top10" dxfId="337" priority="336" rank="1"/>
  </conditionalFormatting>
  <conditionalFormatting sqref="X22:X25">
    <cfRule type="top10" dxfId="336" priority="335" bottom="1" rank="1"/>
  </conditionalFormatting>
  <conditionalFormatting sqref="Y22:Y25">
    <cfRule type="top10" dxfId="335" priority="334" rank="1"/>
  </conditionalFormatting>
  <conditionalFormatting sqref="Y22:Y25">
    <cfRule type="top10" dxfId="334" priority="333" bottom="1" rank="1"/>
  </conditionalFormatting>
  <conditionalFormatting sqref="Z22:Z25">
    <cfRule type="top10" dxfId="333" priority="332" rank="1"/>
  </conditionalFormatting>
  <conditionalFormatting sqref="Z22:Z25">
    <cfRule type="top10" dxfId="332" priority="331" bottom="1" rank="1"/>
  </conditionalFormatting>
  <conditionalFormatting sqref="AA22:AA25">
    <cfRule type="top10" dxfId="331" priority="330" rank="1"/>
  </conditionalFormatting>
  <conditionalFormatting sqref="AA22:AA25">
    <cfRule type="top10" dxfId="330" priority="329" bottom="1" rank="1"/>
  </conditionalFormatting>
  <conditionalFormatting sqref="AB22:AB25">
    <cfRule type="top10" dxfId="329" priority="328" rank="1"/>
  </conditionalFormatting>
  <conditionalFormatting sqref="AB22:AB25">
    <cfRule type="top10" dxfId="328" priority="327" bottom="1" rank="1"/>
  </conditionalFormatting>
  <conditionalFormatting sqref="AC22:AC25">
    <cfRule type="top10" dxfId="327" priority="326" rank="1"/>
  </conditionalFormatting>
  <conditionalFormatting sqref="AC22:AC25">
    <cfRule type="top10" dxfId="326" priority="325" bottom="1" rank="1"/>
  </conditionalFormatting>
  <conditionalFormatting sqref="AD22:AD25">
    <cfRule type="top10" dxfId="325" priority="324" rank="1"/>
  </conditionalFormatting>
  <conditionalFormatting sqref="AD22:AD25">
    <cfRule type="top10" dxfId="324" priority="323" bottom="1" rank="1"/>
  </conditionalFormatting>
  <conditionalFormatting sqref="AE22:AE25">
    <cfRule type="top10" dxfId="323" priority="322" rank="1"/>
  </conditionalFormatting>
  <conditionalFormatting sqref="AE22:AE25">
    <cfRule type="top10" dxfId="322" priority="321" bottom="1" rank="1"/>
  </conditionalFormatting>
  <conditionalFormatting sqref="AF22:AF25">
    <cfRule type="top10" dxfId="321" priority="320" rank="1"/>
  </conditionalFormatting>
  <conditionalFormatting sqref="AF22:AF25">
    <cfRule type="top10" dxfId="320" priority="319" bottom="1" rank="1"/>
  </conditionalFormatting>
  <conditionalFormatting sqref="AG22:AG25">
    <cfRule type="top10" dxfId="319" priority="318" rank="1"/>
  </conditionalFormatting>
  <conditionalFormatting sqref="AG22:AG25">
    <cfRule type="top10" dxfId="318" priority="317" bottom="1" rank="1"/>
  </conditionalFormatting>
  <conditionalFormatting sqref="AH22:AH25">
    <cfRule type="top10" dxfId="317" priority="316" rank="1"/>
  </conditionalFormatting>
  <conditionalFormatting sqref="AH22:AH25">
    <cfRule type="top10" dxfId="316" priority="315" bottom="1" rank="1"/>
  </conditionalFormatting>
  <conditionalFormatting sqref="AI22:AI25">
    <cfRule type="top10" dxfId="315" priority="314" rank="1"/>
  </conditionalFormatting>
  <conditionalFormatting sqref="AI22:AI25">
    <cfRule type="top10" dxfId="314" priority="313" bottom="1" rank="1"/>
  </conditionalFormatting>
  <conditionalFormatting sqref="AJ22:AJ25">
    <cfRule type="top10" dxfId="313" priority="312" rank="1"/>
  </conditionalFormatting>
  <conditionalFormatting sqref="AJ22:AJ25">
    <cfRule type="top10" dxfId="312" priority="311" bottom="1" rank="1"/>
  </conditionalFormatting>
  <conditionalFormatting sqref="AK22:AK25">
    <cfRule type="top10" dxfId="311" priority="310" rank="1"/>
  </conditionalFormatting>
  <conditionalFormatting sqref="AK22:AK25">
    <cfRule type="top10" dxfId="310" priority="309" bottom="1" rank="1"/>
  </conditionalFormatting>
  <conditionalFormatting sqref="AL22:AL25">
    <cfRule type="top10" dxfId="309" priority="308" rank="1"/>
  </conditionalFormatting>
  <conditionalFormatting sqref="AL22:AL25">
    <cfRule type="top10" dxfId="308" priority="307" bottom="1" rank="1"/>
  </conditionalFormatting>
  <conditionalFormatting sqref="AM22:AM25">
    <cfRule type="top10" dxfId="307" priority="306" rank="1"/>
  </conditionalFormatting>
  <conditionalFormatting sqref="AM22:AM25">
    <cfRule type="top10" dxfId="306" priority="305" bottom="1" rank="1"/>
  </conditionalFormatting>
  <conditionalFormatting sqref="AN22:AN25">
    <cfRule type="top10" dxfId="305" priority="304" rank="1"/>
  </conditionalFormatting>
  <conditionalFormatting sqref="AN22:AN25">
    <cfRule type="top10" dxfId="304" priority="303" bottom="1" rank="1"/>
  </conditionalFormatting>
  <conditionalFormatting sqref="AO22:AO25">
    <cfRule type="top10" dxfId="303" priority="302" rank="1"/>
  </conditionalFormatting>
  <conditionalFormatting sqref="AO22:AO25">
    <cfRule type="top10" dxfId="302" priority="301" bottom="1" rank="1"/>
  </conditionalFormatting>
  <conditionalFormatting sqref="AP22:AP25">
    <cfRule type="top10" dxfId="301" priority="300" rank="1"/>
  </conditionalFormatting>
  <conditionalFormatting sqref="AP22:AP25">
    <cfRule type="top10" dxfId="300" priority="299" bottom="1" rank="1"/>
  </conditionalFormatting>
  <conditionalFormatting sqref="AQ22:AQ25">
    <cfRule type="top10" dxfId="299" priority="298" rank="1"/>
  </conditionalFormatting>
  <conditionalFormatting sqref="AQ22:AQ25">
    <cfRule type="top10" dxfId="298" priority="297" bottom="1" rank="1"/>
  </conditionalFormatting>
  <conditionalFormatting sqref="AR22:AR25">
    <cfRule type="top10" dxfId="297" priority="296" rank="1"/>
  </conditionalFormatting>
  <conditionalFormatting sqref="AR22:AR25">
    <cfRule type="top10" dxfId="296" priority="295" bottom="1" rank="1"/>
  </conditionalFormatting>
  <conditionalFormatting sqref="AS22:AS25">
    <cfRule type="top10" dxfId="295" priority="294" rank="1"/>
  </conditionalFormatting>
  <conditionalFormatting sqref="AS22:AS25">
    <cfRule type="top10" dxfId="294" priority="293" bottom="1" rank="1"/>
  </conditionalFormatting>
  <conditionalFormatting sqref="AT22:AT25">
    <cfRule type="top10" dxfId="293" priority="292" rank="1"/>
  </conditionalFormatting>
  <conditionalFormatting sqref="AT22:AT25">
    <cfRule type="top10" dxfId="292" priority="291" bottom="1" rank="1"/>
  </conditionalFormatting>
  <conditionalFormatting sqref="AU22:AU25">
    <cfRule type="top10" dxfId="291" priority="290" rank="1"/>
  </conditionalFormatting>
  <conditionalFormatting sqref="AU22:AU25">
    <cfRule type="top10" dxfId="290" priority="289" bottom="1" rank="1"/>
  </conditionalFormatting>
  <conditionalFormatting sqref="AV22:AV25">
    <cfRule type="top10" dxfId="289" priority="288" rank="1"/>
  </conditionalFormatting>
  <conditionalFormatting sqref="AV22:AV25">
    <cfRule type="top10" dxfId="288" priority="287" bottom="1" rank="1"/>
  </conditionalFormatting>
  <conditionalFormatting sqref="AW22:AW25">
    <cfRule type="top10" dxfId="287" priority="286" rank="1"/>
  </conditionalFormatting>
  <conditionalFormatting sqref="AW22:AW25">
    <cfRule type="top10" dxfId="286" priority="285" bottom="1" rank="1"/>
  </conditionalFormatting>
  <conditionalFormatting sqref="AX22:AX25">
    <cfRule type="top10" dxfId="285" priority="284" rank="1"/>
  </conditionalFormatting>
  <conditionalFormatting sqref="AX22:AX25">
    <cfRule type="top10" dxfId="284" priority="283" bottom="1" rank="1"/>
  </conditionalFormatting>
  <conditionalFormatting sqref="D27:D30">
    <cfRule type="top10" dxfId="283" priority="282" rank="1"/>
  </conditionalFormatting>
  <conditionalFormatting sqref="D27:D30">
    <cfRule type="top10" dxfId="282" priority="281" bottom="1" rank="1"/>
  </conditionalFormatting>
  <conditionalFormatting sqref="E27:E30">
    <cfRule type="top10" dxfId="281" priority="280" rank="1"/>
  </conditionalFormatting>
  <conditionalFormatting sqref="E27:E30">
    <cfRule type="top10" dxfId="280" priority="279" bottom="1" rank="1"/>
  </conditionalFormatting>
  <conditionalFormatting sqref="F27:F30">
    <cfRule type="top10" dxfId="279" priority="278" rank="1"/>
  </conditionalFormatting>
  <conditionalFormatting sqref="F27:F30">
    <cfRule type="top10" dxfId="278" priority="277" bottom="1" rank="1"/>
  </conditionalFormatting>
  <conditionalFormatting sqref="G27:G30">
    <cfRule type="top10" dxfId="277" priority="276" rank="1"/>
  </conditionalFormatting>
  <conditionalFormatting sqref="G27:G30">
    <cfRule type="top10" dxfId="276" priority="275" bottom="1" rank="1"/>
  </conditionalFormatting>
  <conditionalFormatting sqref="H27:H30">
    <cfRule type="top10" dxfId="275" priority="274" rank="1"/>
  </conditionalFormatting>
  <conditionalFormatting sqref="H27:H30">
    <cfRule type="top10" dxfId="274" priority="273" bottom="1" rank="1"/>
  </conditionalFormatting>
  <conditionalFormatting sqref="I27:I30">
    <cfRule type="top10" dxfId="273" priority="272" rank="1"/>
  </conditionalFormatting>
  <conditionalFormatting sqref="I27:I30">
    <cfRule type="top10" dxfId="272" priority="271" bottom="1" rank="1"/>
  </conditionalFormatting>
  <conditionalFormatting sqref="J27:J30">
    <cfRule type="top10" dxfId="271" priority="270" rank="1"/>
  </conditionalFormatting>
  <conditionalFormatting sqref="J27:J30">
    <cfRule type="top10" dxfId="270" priority="269" bottom="1" rank="1"/>
  </conditionalFormatting>
  <conditionalFormatting sqref="K27:K30">
    <cfRule type="top10" dxfId="269" priority="268" rank="1"/>
  </conditionalFormatting>
  <conditionalFormatting sqref="K27:K30">
    <cfRule type="top10" dxfId="268" priority="267" bottom="1" rank="1"/>
  </conditionalFormatting>
  <conditionalFormatting sqref="L27:L30">
    <cfRule type="top10" dxfId="267" priority="266" rank="1"/>
  </conditionalFormatting>
  <conditionalFormatting sqref="L27:L30">
    <cfRule type="top10" dxfId="266" priority="265" bottom="1" rank="1"/>
  </conditionalFormatting>
  <conditionalFormatting sqref="M27:M30">
    <cfRule type="top10" dxfId="265" priority="264" rank="1"/>
  </conditionalFormatting>
  <conditionalFormatting sqref="M27:M30">
    <cfRule type="top10" dxfId="264" priority="263" bottom="1" rank="1"/>
  </conditionalFormatting>
  <conditionalFormatting sqref="N27:N30">
    <cfRule type="top10" dxfId="263" priority="262" rank="1"/>
  </conditionalFormatting>
  <conditionalFormatting sqref="N27:N30">
    <cfRule type="top10" dxfId="262" priority="261" bottom="1" rank="1"/>
  </conditionalFormatting>
  <conditionalFormatting sqref="O27:O30">
    <cfRule type="top10" dxfId="261" priority="260" rank="1"/>
  </conditionalFormatting>
  <conditionalFormatting sqref="O27:O30">
    <cfRule type="top10" dxfId="260" priority="259" bottom="1" rank="1"/>
  </conditionalFormatting>
  <conditionalFormatting sqref="P27:P30">
    <cfRule type="top10" dxfId="259" priority="258" rank="1"/>
  </conditionalFormatting>
  <conditionalFormatting sqref="P27:P30">
    <cfRule type="top10" dxfId="258" priority="257" bottom="1" rank="1"/>
  </conditionalFormatting>
  <conditionalFormatting sqref="Q27:Q30">
    <cfRule type="top10" dxfId="257" priority="256" rank="1"/>
  </conditionalFormatting>
  <conditionalFormatting sqref="Q27:Q30">
    <cfRule type="top10" dxfId="256" priority="255" bottom="1" rank="1"/>
  </conditionalFormatting>
  <conditionalFormatting sqref="R27:R30">
    <cfRule type="top10" dxfId="255" priority="254" rank="1"/>
  </conditionalFormatting>
  <conditionalFormatting sqref="R27:R30">
    <cfRule type="top10" dxfId="254" priority="253" bottom="1" rank="1"/>
  </conditionalFormatting>
  <conditionalFormatting sqref="S27:S30">
    <cfRule type="top10" dxfId="253" priority="252" rank="1"/>
  </conditionalFormatting>
  <conditionalFormatting sqref="S27:S30">
    <cfRule type="top10" dxfId="252" priority="251" bottom="1" rank="1"/>
  </conditionalFormatting>
  <conditionalFormatting sqref="T27:T30">
    <cfRule type="top10" dxfId="251" priority="250" rank="1"/>
  </conditionalFormatting>
  <conditionalFormatting sqref="T27:T30">
    <cfRule type="top10" dxfId="250" priority="249" bottom="1" rank="1"/>
  </conditionalFormatting>
  <conditionalFormatting sqref="U27:U30">
    <cfRule type="top10" dxfId="249" priority="248" rank="1"/>
  </conditionalFormatting>
  <conditionalFormatting sqref="U27:U30">
    <cfRule type="top10" dxfId="248" priority="247" bottom="1" rank="1"/>
  </conditionalFormatting>
  <conditionalFormatting sqref="V27:V30">
    <cfRule type="top10" dxfId="247" priority="246" rank="1"/>
  </conditionalFormatting>
  <conditionalFormatting sqref="V27:V30">
    <cfRule type="top10" dxfId="246" priority="245" bottom="1" rank="1"/>
  </conditionalFormatting>
  <conditionalFormatting sqref="W27:W30">
    <cfRule type="top10" dxfId="245" priority="244" rank="1"/>
  </conditionalFormatting>
  <conditionalFormatting sqref="W27:W30">
    <cfRule type="top10" dxfId="244" priority="243" bottom="1" rank="1"/>
  </conditionalFormatting>
  <conditionalFormatting sqref="X27:X30">
    <cfRule type="top10" dxfId="243" priority="242" rank="1"/>
  </conditionalFormatting>
  <conditionalFormatting sqref="X27:X30">
    <cfRule type="top10" dxfId="242" priority="241" bottom="1" rank="1"/>
  </conditionalFormatting>
  <conditionalFormatting sqref="Y27:Y30">
    <cfRule type="top10" dxfId="241" priority="240" rank="1"/>
  </conditionalFormatting>
  <conditionalFormatting sqref="Y27:Y30">
    <cfRule type="top10" dxfId="240" priority="239" bottom="1" rank="1"/>
  </conditionalFormatting>
  <conditionalFormatting sqref="Z27:Z30">
    <cfRule type="top10" dxfId="239" priority="238" rank="1"/>
  </conditionalFormatting>
  <conditionalFormatting sqref="Z27:Z30">
    <cfRule type="top10" dxfId="238" priority="237" bottom="1" rank="1"/>
  </conditionalFormatting>
  <conditionalFormatting sqref="AA27:AA30">
    <cfRule type="top10" dxfId="237" priority="236" rank="1"/>
  </conditionalFormatting>
  <conditionalFormatting sqref="AA27:AA30">
    <cfRule type="top10" dxfId="236" priority="235" bottom="1" rank="1"/>
  </conditionalFormatting>
  <conditionalFormatting sqref="AB27:AB30">
    <cfRule type="top10" dxfId="235" priority="234" rank="1"/>
  </conditionalFormatting>
  <conditionalFormatting sqref="AB27:AB30">
    <cfRule type="top10" dxfId="234" priority="233" bottom="1" rank="1"/>
  </conditionalFormatting>
  <conditionalFormatting sqref="AC27:AC30">
    <cfRule type="top10" dxfId="233" priority="232" rank="1"/>
  </conditionalFormatting>
  <conditionalFormatting sqref="AC27:AC30">
    <cfRule type="top10" dxfId="232" priority="231" bottom="1" rank="1"/>
  </conditionalFormatting>
  <conditionalFormatting sqref="AD27:AD30">
    <cfRule type="top10" dxfId="231" priority="230" rank="1"/>
  </conditionalFormatting>
  <conditionalFormatting sqref="AD27:AD30">
    <cfRule type="top10" dxfId="230" priority="229" bottom="1" rank="1"/>
  </conditionalFormatting>
  <conditionalFormatting sqref="AE27:AE30">
    <cfRule type="top10" dxfId="229" priority="228" rank="1"/>
  </conditionalFormatting>
  <conditionalFormatting sqref="AE27:AE30">
    <cfRule type="top10" dxfId="228" priority="227" bottom="1" rank="1"/>
  </conditionalFormatting>
  <conditionalFormatting sqref="AF27:AF30">
    <cfRule type="top10" dxfId="227" priority="226" rank="1"/>
  </conditionalFormatting>
  <conditionalFormatting sqref="AF27:AF30">
    <cfRule type="top10" dxfId="226" priority="225" bottom="1" rank="1"/>
  </conditionalFormatting>
  <conditionalFormatting sqref="AG27:AG30">
    <cfRule type="top10" dxfId="225" priority="224" rank="1"/>
  </conditionalFormatting>
  <conditionalFormatting sqref="AG27:AG30">
    <cfRule type="top10" dxfId="224" priority="223" bottom="1" rank="1"/>
  </conditionalFormatting>
  <conditionalFormatting sqref="AH27:AH30">
    <cfRule type="top10" dxfId="223" priority="222" rank="1"/>
  </conditionalFormatting>
  <conditionalFormatting sqref="AH27:AH30">
    <cfRule type="top10" dxfId="222" priority="221" bottom="1" rank="1"/>
  </conditionalFormatting>
  <conditionalFormatting sqref="AI27:AI30">
    <cfRule type="top10" dxfId="221" priority="220" rank="1"/>
  </conditionalFormatting>
  <conditionalFormatting sqref="AI27:AI30">
    <cfRule type="top10" dxfId="220" priority="219" bottom="1" rank="1"/>
  </conditionalFormatting>
  <conditionalFormatting sqref="AJ27:AJ30">
    <cfRule type="top10" dxfId="219" priority="218" rank="1"/>
  </conditionalFormatting>
  <conditionalFormatting sqref="AJ27:AJ30">
    <cfRule type="top10" dxfId="218" priority="217" bottom="1" rank="1"/>
  </conditionalFormatting>
  <conditionalFormatting sqref="AK27:AK30">
    <cfRule type="top10" dxfId="217" priority="216" rank="1"/>
  </conditionalFormatting>
  <conditionalFormatting sqref="AK27:AK30">
    <cfRule type="top10" dxfId="216" priority="215" bottom="1" rank="1"/>
  </conditionalFormatting>
  <conditionalFormatting sqref="AL27:AL30">
    <cfRule type="top10" dxfId="215" priority="214" rank="1"/>
  </conditionalFormatting>
  <conditionalFormatting sqref="AL27:AL30">
    <cfRule type="top10" dxfId="214" priority="213" bottom="1" rank="1"/>
  </conditionalFormatting>
  <conditionalFormatting sqref="AM27:AM30">
    <cfRule type="top10" dxfId="213" priority="212" rank="1"/>
  </conditionalFormatting>
  <conditionalFormatting sqref="AM27:AM30">
    <cfRule type="top10" dxfId="212" priority="211" bottom="1" rank="1"/>
  </conditionalFormatting>
  <conditionalFormatting sqref="AN27:AN30">
    <cfRule type="top10" dxfId="211" priority="210" rank="1"/>
  </conditionalFormatting>
  <conditionalFormatting sqref="AN27:AN30">
    <cfRule type="top10" dxfId="210" priority="209" bottom="1" rank="1"/>
  </conditionalFormatting>
  <conditionalFormatting sqref="AO27:AO30">
    <cfRule type="top10" dxfId="209" priority="208" rank="1"/>
  </conditionalFormatting>
  <conditionalFormatting sqref="AO27:AO30">
    <cfRule type="top10" dxfId="208" priority="207" bottom="1" rank="1"/>
  </conditionalFormatting>
  <conditionalFormatting sqref="AP27:AP30">
    <cfRule type="top10" dxfId="207" priority="206" rank="1"/>
  </conditionalFormatting>
  <conditionalFormatting sqref="AP27:AP30">
    <cfRule type="top10" dxfId="206" priority="205" bottom="1" rank="1"/>
  </conditionalFormatting>
  <conditionalFormatting sqref="AQ27:AQ30">
    <cfRule type="top10" dxfId="205" priority="204" rank="1"/>
  </conditionalFormatting>
  <conditionalFormatting sqref="AQ27:AQ30">
    <cfRule type="top10" dxfId="204" priority="203" bottom="1" rank="1"/>
  </conditionalFormatting>
  <conditionalFormatting sqref="AR27:AR30">
    <cfRule type="top10" dxfId="203" priority="202" rank="1"/>
  </conditionalFormatting>
  <conditionalFormatting sqref="AR27:AR30">
    <cfRule type="top10" dxfId="202" priority="201" bottom="1" rank="1"/>
  </conditionalFormatting>
  <conditionalFormatting sqref="AS27:AS30">
    <cfRule type="top10" dxfId="201" priority="200" rank="1"/>
  </conditionalFormatting>
  <conditionalFormatting sqref="AS27:AS30">
    <cfRule type="top10" dxfId="200" priority="199" bottom="1" rank="1"/>
  </conditionalFormatting>
  <conditionalFormatting sqref="AT27:AT30">
    <cfRule type="top10" dxfId="199" priority="198" rank="1"/>
  </conditionalFormatting>
  <conditionalFormatting sqref="AT27:AT30">
    <cfRule type="top10" dxfId="198" priority="197" bottom="1" rank="1"/>
  </conditionalFormatting>
  <conditionalFormatting sqref="AU27:AU30">
    <cfRule type="top10" dxfId="197" priority="196" rank="1"/>
  </conditionalFormatting>
  <conditionalFormatting sqref="AU27:AU30">
    <cfRule type="top10" dxfId="196" priority="195" bottom="1" rank="1"/>
  </conditionalFormatting>
  <conditionalFormatting sqref="AV27:AV30">
    <cfRule type="top10" dxfId="195" priority="194" rank="1"/>
  </conditionalFormatting>
  <conditionalFormatting sqref="AV27:AV30">
    <cfRule type="top10" dxfId="194" priority="193" bottom="1" rank="1"/>
  </conditionalFormatting>
  <conditionalFormatting sqref="AW27:AW30">
    <cfRule type="top10" dxfId="193" priority="192" rank="1"/>
  </conditionalFormatting>
  <conditionalFormatting sqref="AW27:AW30">
    <cfRule type="top10" dxfId="192" priority="191" bottom="1" rank="1"/>
  </conditionalFormatting>
  <conditionalFormatting sqref="AX27:AX30">
    <cfRule type="top10" dxfId="191" priority="190" rank="1"/>
  </conditionalFormatting>
  <conditionalFormatting sqref="AX27:AX30">
    <cfRule type="top10" dxfId="190" priority="189" bottom="1" rank="1"/>
  </conditionalFormatting>
  <conditionalFormatting sqref="D32:D35">
    <cfRule type="top10" dxfId="189" priority="188" rank="1"/>
  </conditionalFormatting>
  <conditionalFormatting sqref="D32:D35">
    <cfRule type="top10" dxfId="188" priority="187" bottom="1" rank="1"/>
  </conditionalFormatting>
  <conditionalFormatting sqref="E32:E35">
    <cfRule type="top10" dxfId="187" priority="186" rank="1"/>
  </conditionalFormatting>
  <conditionalFormatting sqref="E32:E35">
    <cfRule type="top10" dxfId="186" priority="185" bottom="1" rank="1"/>
  </conditionalFormatting>
  <conditionalFormatting sqref="F32:F35">
    <cfRule type="top10" dxfId="185" priority="184" rank="1"/>
  </conditionalFormatting>
  <conditionalFormatting sqref="F32:F35">
    <cfRule type="top10" dxfId="184" priority="183" bottom="1" rank="1"/>
  </conditionalFormatting>
  <conditionalFormatting sqref="G32:G35">
    <cfRule type="top10" dxfId="183" priority="182" rank="1"/>
  </conditionalFormatting>
  <conditionalFormatting sqref="G32:G35">
    <cfRule type="top10" dxfId="182" priority="181" bottom="1" rank="1"/>
  </conditionalFormatting>
  <conditionalFormatting sqref="H32:H35">
    <cfRule type="top10" dxfId="181" priority="180" rank="1"/>
  </conditionalFormatting>
  <conditionalFormatting sqref="H32:H35">
    <cfRule type="top10" dxfId="180" priority="179" bottom="1" rank="1"/>
  </conditionalFormatting>
  <conditionalFormatting sqref="I32:I35">
    <cfRule type="top10" dxfId="179" priority="178" rank="1"/>
  </conditionalFormatting>
  <conditionalFormatting sqref="I32:I35">
    <cfRule type="top10" dxfId="178" priority="177" bottom="1" rank="1"/>
  </conditionalFormatting>
  <conditionalFormatting sqref="J32:J35">
    <cfRule type="top10" dxfId="177" priority="176" rank="1"/>
  </conditionalFormatting>
  <conditionalFormatting sqref="J32:J35">
    <cfRule type="top10" dxfId="176" priority="175" bottom="1" rank="1"/>
  </conditionalFormatting>
  <conditionalFormatting sqref="K32:K35">
    <cfRule type="top10" dxfId="175" priority="174" rank="1"/>
  </conditionalFormatting>
  <conditionalFormatting sqref="K32:K35">
    <cfRule type="top10" dxfId="174" priority="173" bottom="1" rank="1"/>
  </conditionalFormatting>
  <conditionalFormatting sqref="L32:L35">
    <cfRule type="top10" dxfId="173" priority="172" rank="1"/>
  </conditionalFormatting>
  <conditionalFormatting sqref="L32:L35">
    <cfRule type="top10" dxfId="172" priority="171" bottom="1" rank="1"/>
  </conditionalFormatting>
  <conditionalFormatting sqref="M32:M35">
    <cfRule type="top10" dxfId="171" priority="170" rank="1"/>
  </conditionalFormatting>
  <conditionalFormatting sqref="M32:M35">
    <cfRule type="top10" dxfId="170" priority="169" bottom="1" rank="1"/>
  </conditionalFormatting>
  <conditionalFormatting sqref="N32:N35">
    <cfRule type="top10" dxfId="169" priority="168" rank="1"/>
  </conditionalFormatting>
  <conditionalFormatting sqref="N32:N35">
    <cfRule type="top10" dxfId="168" priority="167" bottom="1" rank="1"/>
  </conditionalFormatting>
  <conditionalFormatting sqref="O32:O35">
    <cfRule type="top10" dxfId="167" priority="166" rank="1"/>
  </conditionalFormatting>
  <conditionalFormatting sqref="O32:O35">
    <cfRule type="top10" dxfId="166" priority="165" bottom="1" rank="1"/>
  </conditionalFormatting>
  <conditionalFormatting sqref="P32:P35">
    <cfRule type="top10" dxfId="165" priority="164" rank="1"/>
  </conditionalFormatting>
  <conditionalFormatting sqref="P32:P35">
    <cfRule type="top10" dxfId="164" priority="163" bottom="1" rank="1"/>
  </conditionalFormatting>
  <conditionalFormatting sqref="Q32:Q35">
    <cfRule type="top10" dxfId="163" priority="162" rank="1"/>
  </conditionalFormatting>
  <conditionalFormatting sqref="Q32:Q35">
    <cfRule type="top10" dxfId="162" priority="161" bottom="1" rank="1"/>
  </conditionalFormatting>
  <conditionalFormatting sqref="R32:R35">
    <cfRule type="top10" dxfId="161" priority="160" rank="1"/>
  </conditionalFormatting>
  <conditionalFormatting sqref="R32:R35">
    <cfRule type="top10" dxfId="160" priority="159" bottom="1" rank="1"/>
  </conditionalFormatting>
  <conditionalFormatting sqref="S32:S35">
    <cfRule type="top10" dxfId="159" priority="158" rank="1"/>
  </conditionalFormatting>
  <conditionalFormatting sqref="S32:S35">
    <cfRule type="top10" dxfId="158" priority="157" bottom="1" rank="1"/>
  </conditionalFormatting>
  <conditionalFormatting sqref="T32:T35">
    <cfRule type="top10" dxfId="157" priority="156" rank="1"/>
  </conditionalFormatting>
  <conditionalFormatting sqref="T32:T35">
    <cfRule type="top10" dxfId="156" priority="155" bottom="1" rank="1"/>
  </conditionalFormatting>
  <conditionalFormatting sqref="U32:U35">
    <cfRule type="top10" dxfId="155" priority="154" rank="1"/>
  </conditionalFormatting>
  <conditionalFormatting sqref="U32:U35">
    <cfRule type="top10" dxfId="154" priority="153" bottom="1" rank="1"/>
  </conditionalFormatting>
  <conditionalFormatting sqref="V32:V35">
    <cfRule type="top10" dxfId="153" priority="152" rank="1"/>
  </conditionalFormatting>
  <conditionalFormatting sqref="V32:V35">
    <cfRule type="top10" dxfId="152" priority="151" bottom="1" rank="1"/>
  </conditionalFormatting>
  <conditionalFormatting sqref="W32:W35">
    <cfRule type="top10" dxfId="151" priority="150" rank="1"/>
  </conditionalFormatting>
  <conditionalFormatting sqref="W32:W35">
    <cfRule type="top10" dxfId="150" priority="149" bottom="1" rank="1"/>
  </conditionalFormatting>
  <conditionalFormatting sqref="X32:X35">
    <cfRule type="top10" dxfId="149" priority="148" rank="1"/>
  </conditionalFormatting>
  <conditionalFormatting sqref="X32:X35">
    <cfRule type="top10" dxfId="148" priority="147" bottom="1" rank="1"/>
  </conditionalFormatting>
  <conditionalFormatting sqref="Y32:Y35">
    <cfRule type="top10" dxfId="147" priority="146" rank="1"/>
  </conditionalFormatting>
  <conditionalFormatting sqref="Y32:Y35">
    <cfRule type="top10" dxfId="146" priority="145" bottom="1" rank="1"/>
  </conditionalFormatting>
  <conditionalFormatting sqref="Z32:Z35">
    <cfRule type="top10" dxfId="145" priority="144" rank="1"/>
  </conditionalFormatting>
  <conditionalFormatting sqref="Z32:Z35">
    <cfRule type="top10" dxfId="144" priority="143" bottom="1" rank="1"/>
  </conditionalFormatting>
  <conditionalFormatting sqref="AA32:AA35">
    <cfRule type="top10" dxfId="143" priority="142" rank="1"/>
  </conditionalFormatting>
  <conditionalFormatting sqref="AA32:AA35">
    <cfRule type="top10" dxfId="142" priority="141" bottom="1" rank="1"/>
  </conditionalFormatting>
  <conditionalFormatting sqref="AB32:AB35">
    <cfRule type="top10" dxfId="141" priority="140" rank="1"/>
  </conditionalFormatting>
  <conditionalFormatting sqref="AB32:AB35">
    <cfRule type="top10" dxfId="140" priority="139" bottom="1" rank="1"/>
  </conditionalFormatting>
  <conditionalFormatting sqref="AC32:AC35">
    <cfRule type="top10" dxfId="139" priority="138" rank="1"/>
  </conditionalFormatting>
  <conditionalFormatting sqref="AC32:AC35">
    <cfRule type="top10" dxfId="138" priority="137" bottom="1" rank="1"/>
  </conditionalFormatting>
  <conditionalFormatting sqref="AD32:AD35">
    <cfRule type="top10" dxfId="137" priority="136" rank="1"/>
  </conditionalFormatting>
  <conditionalFormatting sqref="AD32:AD35">
    <cfRule type="top10" dxfId="136" priority="135" bottom="1" rank="1"/>
  </conditionalFormatting>
  <conditionalFormatting sqref="AE32:AE35">
    <cfRule type="top10" dxfId="135" priority="134" rank="1"/>
  </conditionalFormatting>
  <conditionalFormatting sqref="AE32:AE35">
    <cfRule type="top10" dxfId="134" priority="133" bottom="1" rank="1"/>
  </conditionalFormatting>
  <conditionalFormatting sqref="AF32:AF35">
    <cfRule type="top10" dxfId="133" priority="132" rank="1"/>
  </conditionalFormatting>
  <conditionalFormatting sqref="AF32:AF35">
    <cfRule type="top10" dxfId="132" priority="131" bottom="1" rank="1"/>
  </conditionalFormatting>
  <conditionalFormatting sqref="AG32:AG35">
    <cfRule type="top10" dxfId="131" priority="130" rank="1"/>
  </conditionalFormatting>
  <conditionalFormatting sqref="AG32:AG35">
    <cfRule type="top10" dxfId="130" priority="129" bottom="1" rank="1"/>
  </conditionalFormatting>
  <conditionalFormatting sqref="AH32:AH35">
    <cfRule type="top10" dxfId="129" priority="128" rank="1"/>
  </conditionalFormatting>
  <conditionalFormatting sqref="AH32:AH35">
    <cfRule type="top10" dxfId="128" priority="127" bottom="1" rank="1"/>
  </conditionalFormatting>
  <conditionalFormatting sqref="AI32:AI35">
    <cfRule type="top10" dxfId="127" priority="126" rank="1"/>
  </conditionalFormatting>
  <conditionalFormatting sqref="AI32:AI35">
    <cfRule type="top10" dxfId="126" priority="125" bottom="1" rank="1"/>
  </conditionalFormatting>
  <conditionalFormatting sqref="AJ32:AJ35">
    <cfRule type="top10" dxfId="125" priority="124" rank="1"/>
  </conditionalFormatting>
  <conditionalFormatting sqref="AJ32:AJ35">
    <cfRule type="top10" dxfId="124" priority="123" bottom="1" rank="1"/>
  </conditionalFormatting>
  <conditionalFormatting sqref="AK32:AK35">
    <cfRule type="top10" dxfId="123" priority="122" rank="1"/>
  </conditionalFormatting>
  <conditionalFormatting sqref="AK32:AK35">
    <cfRule type="top10" dxfId="122" priority="121" bottom="1" rank="1"/>
  </conditionalFormatting>
  <conditionalFormatting sqref="AL32:AL35">
    <cfRule type="top10" dxfId="121" priority="120" rank="1"/>
  </conditionalFormatting>
  <conditionalFormatting sqref="AL32:AL35">
    <cfRule type="top10" dxfId="120" priority="119" bottom="1" rank="1"/>
  </conditionalFormatting>
  <conditionalFormatting sqref="AM32:AM35">
    <cfRule type="top10" dxfId="119" priority="118" rank="1"/>
  </conditionalFormatting>
  <conditionalFormatting sqref="AM32:AM35">
    <cfRule type="top10" dxfId="118" priority="117" bottom="1" rank="1"/>
  </conditionalFormatting>
  <conditionalFormatting sqref="AN32:AN35">
    <cfRule type="top10" dxfId="117" priority="116" rank="1"/>
  </conditionalFormatting>
  <conditionalFormatting sqref="AN32:AN35">
    <cfRule type="top10" dxfId="116" priority="115" bottom="1" rank="1"/>
  </conditionalFormatting>
  <conditionalFormatting sqref="AO32:AO35">
    <cfRule type="top10" dxfId="115" priority="114" rank="1"/>
  </conditionalFormatting>
  <conditionalFormatting sqref="AO32:AO35">
    <cfRule type="top10" dxfId="114" priority="113" bottom="1" rank="1"/>
  </conditionalFormatting>
  <conditionalFormatting sqref="AP32:AP35">
    <cfRule type="top10" dxfId="113" priority="112" rank="1"/>
  </conditionalFormatting>
  <conditionalFormatting sqref="AP32:AP35">
    <cfRule type="top10" dxfId="112" priority="111" bottom="1" rank="1"/>
  </conditionalFormatting>
  <conditionalFormatting sqref="AQ32:AQ35">
    <cfRule type="top10" dxfId="111" priority="110" rank="1"/>
  </conditionalFormatting>
  <conditionalFormatting sqref="AQ32:AQ35">
    <cfRule type="top10" dxfId="110" priority="109" bottom="1" rank="1"/>
  </conditionalFormatting>
  <conditionalFormatting sqref="AR32:AR35">
    <cfRule type="top10" dxfId="109" priority="108" rank="1"/>
  </conditionalFormatting>
  <conditionalFormatting sqref="AR32:AR35">
    <cfRule type="top10" dxfId="108" priority="107" bottom="1" rank="1"/>
  </conditionalFormatting>
  <conditionalFormatting sqref="AS32:AS35">
    <cfRule type="top10" dxfId="107" priority="106" rank="1"/>
  </conditionalFormatting>
  <conditionalFormatting sqref="AS32:AS35">
    <cfRule type="top10" dxfId="106" priority="105" bottom="1" rank="1"/>
  </conditionalFormatting>
  <conditionalFormatting sqref="AT32:AT35">
    <cfRule type="top10" dxfId="105" priority="104" rank="1"/>
  </conditionalFormatting>
  <conditionalFormatting sqref="AT32:AT35">
    <cfRule type="top10" dxfId="104" priority="103" bottom="1" rank="1"/>
  </conditionalFormatting>
  <conditionalFormatting sqref="AU32:AU35">
    <cfRule type="top10" dxfId="103" priority="102" rank="1"/>
  </conditionalFormatting>
  <conditionalFormatting sqref="AU32:AU35">
    <cfRule type="top10" dxfId="102" priority="101" bottom="1" rank="1"/>
  </conditionalFormatting>
  <conditionalFormatting sqref="AV32:AV35">
    <cfRule type="top10" dxfId="101" priority="100" rank="1"/>
  </conditionalFormatting>
  <conditionalFormatting sqref="AV32:AV35">
    <cfRule type="top10" dxfId="100" priority="99" bottom="1" rank="1"/>
  </conditionalFormatting>
  <conditionalFormatting sqref="AW32:AW35">
    <cfRule type="top10" dxfId="99" priority="98" rank="1"/>
  </conditionalFormatting>
  <conditionalFormatting sqref="AW32:AW35">
    <cfRule type="top10" dxfId="98" priority="97" bottom="1" rank="1"/>
  </conditionalFormatting>
  <conditionalFormatting sqref="AX32:AX35">
    <cfRule type="top10" dxfId="97" priority="96" rank="1"/>
  </conditionalFormatting>
  <conditionalFormatting sqref="AX32:AX35">
    <cfRule type="top10" dxfId="96" priority="95" bottom="1" rank="1"/>
  </conditionalFormatting>
  <conditionalFormatting sqref="D37:D40">
    <cfRule type="top10" dxfId="95" priority="94" rank="1"/>
  </conditionalFormatting>
  <conditionalFormatting sqref="D37:D40">
    <cfRule type="top10" dxfId="94" priority="93" bottom="1" rank="1"/>
  </conditionalFormatting>
  <conditionalFormatting sqref="E37:E40">
    <cfRule type="top10" dxfId="93" priority="92" rank="1"/>
  </conditionalFormatting>
  <conditionalFormatting sqref="E37:E40">
    <cfRule type="top10" dxfId="92" priority="91" bottom="1" rank="1"/>
  </conditionalFormatting>
  <conditionalFormatting sqref="F37:F40">
    <cfRule type="top10" dxfId="91" priority="90" rank="1"/>
  </conditionalFormatting>
  <conditionalFormatting sqref="F37:F40">
    <cfRule type="top10" dxfId="90" priority="89" bottom="1" rank="1"/>
  </conditionalFormatting>
  <conditionalFormatting sqref="G37:G40">
    <cfRule type="top10" dxfId="89" priority="88" rank="1"/>
  </conditionalFormatting>
  <conditionalFormatting sqref="G37:G40">
    <cfRule type="top10" dxfId="88" priority="87" bottom="1" rank="1"/>
  </conditionalFormatting>
  <conditionalFormatting sqref="H37:H40">
    <cfRule type="top10" dxfId="87" priority="86" rank="1"/>
  </conditionalFormatting>
  <conditionalFormatting sqref="H37:H40">
    <cfRule type="top10" dxfId="86" priority="85" bottom="1" rank="1"/>
  </conditionalFormatting>
  <conditionalFormatting sqref="I37:I40">
    <cfRule type="top10" dxfId="85" priority="84" rank="1"/>
  </conditionalFormatting>
  <conditionalFormatting sqref="I37:I40">
    <cfRule type="top10" dxfId="84" priority="83" bottom="1" rank="1"/>
  </conditionalFormatting>
  <conditionalFormatting sqref="J37:J40">
    <cfRule type="top10" dxfId="83" priority="82" rank="1"/>
  </conditionalFormatting>
  <conditionalFormatting sqref="J37:J40">
    <cfRule type="top10" dxfId="82" priority="81" bottom="1" rank="1"/>
  </conditionalFormatting>
  <conditionalFormatting sqref="K37:K40">
    <cfRule type="top10" dxfId="81" priority="80" rank="1"/>
  </conditionalFormatting>
  <conditionalFormatting sqref="K37:K40">
    <cfRule type="top10" dxfId="80" priority="79" bottom="1" rank="1"/>
  </conditionalFormatting>
  <conditionalFormatting sqref="L37:L40">
    <cfRule type="top10" dxfId="79" priority="78" rank="1"/>
  </conditionalFormatting>
  <conditionalFormatting sqref="L37:L40">
    <cfRule type="top10" dxfId="78" priority="77" bottom="1" rank="1"/>
  </conditionalFormatting>
  <conditionalFormatting sqref="M37:M40">
    <cfRule type="top10" dxfId="77" priority="76" rank="1"/>
  </conditionalFormatting>
  <conditionalFormatting sqref="M37:M40">
    <cfRule type="top10" dxfId="76" priority="75" bottom="1" rank="1"/>
  </conditionalFormatting>
  <conditionalFormatting sqref="N37:N40">
    <cfRule type="top10" dxfId="75" priority="74" rank="1"/>
  </conditionalFormatting>
  <conditionalFormatting sqref="N37:N40">
    <cfRule type="top10" dxfId="74" priority="73" bottom="1" rank="1"/>
  </conditionalFormatting>
  <conditionalFormatting sqref="O37:O40">
    <cfRule type="top10" dxfId="73" priority="72" rank="1"/>
  </conditionalFormatting>
  <conditionalFormatting sqref="O37:O40">
    <cfRule type="top10" dxfId="72" priority="71" bottom="1" rank="1"/>
  </conditionalFormatting>
  <conditionalFormatting sqref="P37:P40">
    <cfRule type="top10" dxfId="71" priority="70" rank="1"/>
  </conditionalFormatting>
  <conditionalFormatting sqref="P37:P40">
    <cfRule type="top10" dxfId="70" priority="69" bottom="1" rank="1"/>
  </conditionalFormatting>
  <conditionalFormatting sqref="Q37:Q40">
    <cfRule type="top10" dxfId="69" priority="68" rank="1"/>
  </conditionalFormatting>
  <conditionalFormatting sqref="Q37:Q40">
    <cfRule type="top10" dxfId="68" priority="67" bottom="1" rank="1"/>
  </conditionalFormatting>
  <conditionalFormatting sqref="R37:R40">
    <cfRule type="top10" dxfId="67" priority="66" rank="1"/>
  </conditionalFormatting>
  <conditionalFormatting sqref="R37:R40">
    <cfRule type="top10" dxfId="66" priority="65" bottom="1" rank="1"/>
  </conditionalFormatting>
  <conditionalFormatting sqref="S37:S40">
    <cfRule type="top10" dxfId="65" priority="64" rank="1"/>
  </conditionalFormatting>
  <conditionalFormatting sqref="S37:S40">
    <cfRule type="top10" dxfId="64" priority="63" bottom="1" rank="1"/>
  </conditionalFormatting>
  <conditionalFormatting sqref="T37:T40">
    <cfRule type="top10" dxfId="63" priority="62" rank="1"/>
  </conditionalFormatting>
  <conditionalFormatting sqref="T37:T40">
    <cfRule type="top10" dxfId="62" priority="61" bottom="1" rank="1"/>
  </conditionalFormatting>
  <conditionalFormatting sqref="U37:U40">
    <cfRule type="top10" dxfId="61" priority="60" rank="1"/>
  </conditionalFormatting>
  <conditionalFormatting sqref="U37:U40">
    <cfRule type="top10" dxfId="60" priority="59" bottom="1" rank="1"/>
  </conditionalFormatting>
  <conditionalFormatting sqref="V37:V40">
    <cfRule type="top10" dxfId="59" priority="58" rank="1"/>
  </conditionalFormatting>
  <conditionalFormatting sqref="V37:V40">
    <cfRule type="top10" dxfId="58" priority="57" bottom="1" rank="1"/>
  </conditionalFormatting>
  <conditionalFormatting sqref="W37:W40">
    <cfRule type="top10" dxfId="57" priority="56" rank="1"/>
  </conditionalFormatting>
  <conditionalFormatting sqref="W37:W40">
    <cfRule type="top10" dxfId="56" priority="55" bottom="1" rank="1"/>
  </conditionalFormatting>
  <conditionalFormatting sqref="X37:X40">
    <cfRule type="top10" dxfId="55" priority="54" rank="1"/>
  </conditionalFormatting>
  <conditionalFormatting sqref="X37:X40">
    <cfRule type="top10" dxfId="54" priority="53" bottom="1" rank="1"/>
  </conditionalFormatting>
  <conditionalFormatting sqref="Y37:Y40">
    <cfRule type="top10" dxfId="53" priority="52" rank="1"/>
  </conditionalFormatting>
  <conditionalFormatting sqref="Y37:Y40">
    <cfRule type="top10" dxfId="52" priority="51" bottom="1" rank="1"/>
  </conditionalFormatting>
  <conditionalFormatting sqref="Z37:Z40">
    <cfRule type="top10" dxfId="51" priority="50" rank="1"/>
  </conditionalFormatting>
  <conditionalFormatting sqref="Z37:Z40">
    <cfRule type="top10" dxfId="50" priority="49" bottom="1" rank="1"/>
  </conditionalFormatting>
  <conditionalFormatting sqref="AA37:AA40">
    <cfRule type="top10" dxfId="49" priority="48" rank="1"/>
  </conditionalFormatting>
  <conditionalFormatting sqref="AA37:AA40">
    <cfRule type="top10" dxfId="48" priority="47" bottom="1" rank="1"/>
  </conditionalFormatting>
  <conditionalFormatting sqref="AB37:AB40">
    <cfRule type="top10" dxfId="47" priority="46" rank="1"/>
  </conditionalFormatting>
  <conditionalFormatting sqref="AB37:AB40">
    <cfRule type="top10" dxfId="46" priority="45" bottom="1" rank="1"/>
  </conditionalFormatting>
  <conditionalFormatting sqref="AC37:AC40">
    <cfRule type="top10" dxfId="45" priority="44" rank="1"/>
  </conditionalFormatting>
  <conditionalFormatting sqref="AC37:AC40">
    <cfRule type="top10" dxfId="44" priority="43" bottom="1" rank="1"/>
  </conditionalFormatting>
  <conditionalFormatting sqref="AD37:AD40">
    <cfRule type="top10" dxfId="43" priority="42" rank="1"/>
  </conditionalFormatting>
  <conditionalFormatting sqref="AD37:AD40">
    <cfRule type="top10" dxfId="42" priority="41" bottom="1" rank="1"/>
  </conditionalFormatting>
  <conditionalFormatting sqref="AE37:AE40">
    <cfRule type="top10" dxfId="41" priority="40" rank="1"/>
  </conditionalFormatting>
  <conditionalFormatting sqref="AE37:AE40">
    <cfRule type="top10" dxfId="40" priority="39" bottom="1" rank="1"/>
  </conditionalFormatting>
  <conditionalFormatting sqref="AF37:AF40">
    <cfRule type="top10" dxfId="39" priority="38" rank="1"/>
  </conditionalFormatting>
  <conditionalFormatting sqref="AF37:AF40">
    <cfRule type="top10" dxfId="38" priority="37" bottom="1" rank="1"/>
  </conditionalFormatting>
  <conditionalFormatting sqref="AG37:AG40">
    <cfRule type="top10" dxfId="37" priority="36" rank="1"/>
  </conditionalFormatting>
  <conditionalFormatting sqref="AG37:AG40">
    <cfRule type="top10" dxfId="36" priority="35" bottom="1" rank="1"/>
  </conditionalFormatting>
  <conditionalFormatting sqref="AH37:AH40">
    <cfRule type="top10" dxfId="35" priority="34" rank="1"/>
  </conditionalFormatting>
  <conditionalFormatting sqref="AH37:AH40">
    <cfRule type="top10" dxfId="34" priority="33" bottom="1" rank="1"/>
  </conditionalFormatting>
  <conditionalFormatting sqref="AI37:AI40">
    <cfRule type="top10" dxfId="33" priority="32" rank="1"/>
  </conditionalFormatting>
  <conditionalFormatting sqref="AI37:AI40">
    <cfRule type="top10" dxfId="32" priority="31" bottom="1" rank="1"/>
  </conditionalFormatting>
  <conditionalFormatting sqref="AJ37:AJ40">
    <cfRule type="top10" dxfId="31" priority="30" rank="1"/>
  </conditionalFormatting>
  <conditionalFormatting sqref="AJ37:AJ40">
    <cfRule type="top10" dxfId="30" priority="29" bottom="1" rank="1"/>
  </conditionalFormatting>
  <conditionalFormatting sqref="AK37:AK40">
    <cfRule type="top10" dxfId="29" priority="28" rank="1"/>
  </conditionalFormatting>
  <conditionalFormatting sqref="AK37:AK40">
    <cfRule type="top10" dxfId="28" priority="27" bottom="1" rank="1"/>
  </conditionalFormatting>
  <conditionalFormatting sqref="AL37:AL40">
    <cfRule type="top10" dxfId="27" priority="26" rank="1"/>
  </conditionalFormatting>
  <conditionalFormatting sqref="AL37:AL40">
    <cfRule type="top10" dxfId="26" priority="25" bottom="1" rank="1"/>
  </conditionalFormatting>
  <conditionalFormatting sqref="AM37:AM40">
    <cfRule type="top10" dxfId="25" priority="24" rank="1"/>
  </conditionalFormatting>
  <conditionalFormatting sqref="AM37:AM40">
    <cfRule type="top10" dxfId="24" priority="23" bottom="1" rank="1"/>
  </conditionalFormatting>
  <conditionalFormatting sqref="AN37:AN40">
    <cfRule type="top10" dxfId="23" priority="22" rank="1"/>
  </conditionalFormatting>
  <conditionalFormatting sqref="AN37:AN40">
    <cfRule type="top10" dxfId="22" priority="21" bottom="1" rank="1"/>
  </conditionalFormatting>
  <conditionalFormatting sqref="AO37:AO40">
    <cfRule type="top10" dxfId="21" priority="20" rank="1"/>
  </conditionalFormatting>
  <conditionalFormatting sqref="AO37:AO40">
    <cfRule type="top10" dxfId="20" priority="19" bottom="1" rank="1"/>
  </conditionalFormatting>
  <conditionalFormatting sqref="AP37:AP40">
    <cfRule type="top10" dxfId="19" priority="18" rank="1"/>
  </conditionalFormatting>
  <conditionalFormatting sqref="AP37:AP40">
    <cfRule type="top10" dxfId="18" priority="17" bottom="1" rank="1"/>
  </conditionalFormatting>
  <conditionalFormatting sqref="AQ37:AQ40">
    <cfRule type="top10" dxfId="17" priority="16" rank="1"/>
  </conditionalFormatting>
  <conditionalFormatting sqref="AQ37:AQ40">
    <cfRule type="top10" dxfId="16" priority="15" bottom="1" rank="1"/>
  </conditionalFormatting>
  <conditionalFormatting sqref="AR37:AR40">
    <cfRule type="top10" dxfId="15" priority="14" rank="1"/>
  </conditionalFormatting>
  <conditionalFormatting sqref="AR37:AR40">
    <cfRule type="top10" dxfId="14" priority="13" bottom="1" rank="1"/>
  </conditionalFormatting>
  <conditionalFormatting sqref="AS37:AS40">
    <cfRule type="top10" dxfId="13" priority="12" rank="1"/>
  </conditionalFormatting>
  <conditionalFormatting sqref="AS37:AS40">
    <cfRule type="top10" dxfId="12" priority="11" bottom="1" rank="1"/>
  </conditionalFormatting>
  <conditionalFormatting sqref="AT37:AT40">
    <cfRule type="top10" dxfId="11" priority="10" rank="1"/>
  </conditionalFormatting>
  <conditionalFormatting sqref="AT37:AT40">
    <cfRule type="top10" dxfId="10" priority="9" bottom="1" rank="1"/>
  </conditionalFormatting>
  <conditionalFormatting sqref="AU37:AU40">
    <cfRule type="top10" dxfId="9" priority="8" rank="1"/>
  </conditionalFormatting>
  <conditionalFormatting sqref="AU37:AU40">
    <cfRule type="top10" dxfId="8" priority="7" bottom="1" rank="1"/>
  </conditionalFormatting>
  <conditionalFormatting sqref="AV37:AV40">
    <cfRule type="top10" dxfId="7" priority="6" rank="1"/>
  </conditionalFormatting>
  <conditionalFormatting sqref="AV37:AV40">
    <cfRule type="top10" dxfId="6" priority="5" bottom="1" rank="1"/>
  </conditionalFormatting>
  <conditionalFormatting sqref="AW37:AW40">
    <cfRule type="top10" dxfId="5" priority="4" rank="1"/>
  </conditionalFormatting>
  <conditionalFormatting sqref="AW37:AW40">
    <cfRule type="top10" dxfId="4" priority="3" bottom="1" rank="1"/>
  </conditionalFormatting>
  <conditionalFormatting sqref="AX37:AX40">
    <cfRule type="top10" dxfId="3" priority="2" rank="1"/>
  </conditionalFormatting>
  <conditionalFormatting sqref="AX37:AX40">
    <cfRule type="top10" dxfId="2" priority="1" bottom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45FB-338F-48E2-8030-0D3F6A860B34}">
  <dimension ref="A2:C35"/>
  <sheetViews>
    <sheetView workbookViewId="0">
      <selection activeCell="C35" sqref="C35"/>
    </sheetView>
  </sheetViews>
  <sheetFormatPr defaultRowHeight="15"/>
  <cols>
    <col min="1" max="1" width="25" bestFit="1" customWidth="1"/>
    <col min="2" max="2" width="17.5703125" bestFit="1" customWidth="1"/>
    <col min="3" max="3" width="18" bestFit="1" customWidth="1"/>
  </cols>
  <sheetData>
    <row r="2" spans="1:3">
      <c r="A2" s="19" t="s">
        <v>71</v>
      </c>
      <c r="B2" t="s">
        <v>131</v>
      </c>
      <c r="C2" t="s">
        <v>132</v>
      </c>
    </row>
    <row r="3" spans="1:3">
      <c r="A3" t="s">
        <v>48</v>
      </c>
      <c r="B3">
        <v>16</v>
      </c>
      <c r="C3">
        <v>5</v>
      </c>
    </row>
    <row r="4" spans="1:3">
      <c r="A4" t="s">
        <v>16</v>
      </c>
      <c r="B4">
        <v>14</v>
      </c>
      <c r="C4">
        <v>5</v>
      </c>
    </row>
    <row r="5" spans="1:3">
      <c r="A5" t="s">
        <v>40</v>
      </c>
      <c r="B5">
        <v>14</v>
      </c>
      <c r="C5">
        <v>6</v>
      </c>
    </row>
    <row r="6" spans="1:3">
      <c r="A6" t="s">
        <v>45</v>
      </c>
      <c r="B6">
        <v>13</v>
      </c>
      <c r="C6">
        <v>5</v>
      </c>
    </row>
    <row r="7" spans="1:3">
      <c r="A7" t="s">
        <v>27</v>
      </c>
      <c r="B7">
        <v>13</v>
      </c>
      <c r="C7">
        <v>8</v>
      </c>
    </row>
    <row r="8" spans="1:3">
      <c r="A8" t="s">
        <v>33</v>
      </c>
      <c r="B8">
        <v>12</v>
      </c>
      <c r="C8">
        <v>8</v>
      </c>
    </row>
    <row r="9" spans="1:3">
      <c r="A9" t="s">
        <v>32</v>
      </c>
      <c r="B9">
        <v>12</v>
      </c>
      <c r="C9">
        <v>6</v>
      </c>
    </row>
    <row r="10" spans="1:3">
      <c r="A10" t="s">
        <v>24</v>
      </c>
      <c r="B10">
        <v>12</v>
      </c>
      <c r="C10">
        <v>7</v>
      </c>
    </row>
    <row r="11" spans="1:3">
      <c r="A11" t="s">
        <v>18</v>
      </c>
      <c r="B11">
        <v>12</v>
      </c>
      <c r="C11">
        <v>6</v>
      </c>
    </row>
    <row r="12" spans="1:3">
      <c r="A12" t="s">
        <v>31</v>
      </c>
      <c r="B12">
        <v>11</v>
      </c>
      <c r="C12">
        <v>7</v>
      </c>
    </row>
    <row r="13" spans="1:3">
      <c r="A13" t="s">
        <v>23</v>
      </c>
      <c r="B13">
        <v>10</v>
      </c>
      <c r="C13">
        <v>8</v>
      </c>
    </row>
    <row r="14" spans="1:3">
      <c r="A14" t="s">
        <v>47</v>
      </c>
      <c r="B14">
        <v>10</v>
      </c>
      <c r="C14">
        <v>8</v>
      </c>
    </row>
    <row r="15" spans="1:3">
      <c r="A15" t="s">
        <v>52</v>
      </c>
      <c r="B15">
        <v>10</v>
      </c>
      <c r="C15">
        <v>8</v>
      </c>
    </row>
    <row r="16" spans="1:3">
      <c r="A16" t="s">
        <v>30</v>
      </c>
      <c r="B16">
        <v>9</v>
      </c>
      <c r="C16">
        <v>8</v>
      </c>
    </row>
    <row r="17" spans="1:3">
      <c r="A17" t="s">
        <v>46</v>
      </c>
      <c r="B17">
        <v>9</v>
      </c>
      <c r="C17">
        <v>8</v>
      </c>
    </row>
    <row r="18" spans="1:3">
      <c r="A18" t="s">
        <v>44</v>
      </c>
      <c r="B18">
        <v>9</v>
      </c>
      <c r="C18">
        <v>8</v>
      </c>
    </row>
    <row r="19" spans="1:3">
      <c r="A19" t="s">
        <v>21</v>
      </c>
      <c r="B19">
        <v>9</v>
      </c>
      <c r="C19">
        <v>9</v>
      </c>
    </row>
    <row r="20" spans="1:3">
      <c r="A20" t="s">
        <v>37</v>
      </c>
      <c r="B20">
        <v>9</v>
      </c>
      <c r="C20">
        <v>8</v>
      </c>
    </row>
    <row r="21" spans="1:3">
      <c r="A21" t="s">
        <v>28</v>
      </c>
      <c r="B21">
        <v>8</v>
      </c>
      <c r="C21">
        <v>9</v>
      </c>
    </row>
    <row r="22" spans="1:3">
      <c r="A22" t="s">
        <v>53</v>
      </c>
      <c r="B22">
        <v>8</v>
      </c>
      <c r="C22">
        <v>9</v>
      </c>
    </row>
    <row r="23" spans="1:3">
      <c r="A23" t="s">
        <v>41</v>
      </c>
      <c r="B23">
        <v>8</v>
      </c>
      <c r="C23">
        <v>9</v>
      </c>
    </row>
    <row r="24" spans="1:3">
      <c r="A24" t="s">
        <v>29</v>
      </c>
      <c r="B24">
        <v>7</v>
      </c>
      <c r="C24">
        <v>10</v>
      </c>
    </row>
    <row r="25" spans="1:3">
      <c r="A25" t="s">
        <v>42</v>
      </c>
      <c r="B25">
        <v>7</v>
      </c>
      <c r="C25">
        <v>10</v>
      </c>
    </row>
    <row r="26" spans="1:3">
      <c r="A26" t="s">
        <v>38</v>
      </c>
      <c r="B26">
        <v>7</v>
      </c>
      <c r="C26">
        <v>10</v>
      </c>
    </row>
    <row r="27" spans="1:3">
      <c r="A27" t="s">
        <v>22</v>
      </c>
      <c r="B27">
        <v>7</v>
      </c>
      <c r="C27">
        <v>10</v>
      </c>
    </row>
    <row r="28" spans="1:3">
      <c r="A28" t="s">
        <v>49</v>
      </c>
      <c r="B28">
        <v>6</v>
      </c>
      <c r="C28">
        <v>11</v>
      </c>
    </row>
    <row r="29" spans="1:3">
      <c r="A29" t="s">
        <v>25</v>
      </c>
      <c r="B29">
        <v>5</v>
      </c>
      <c r="C29">
        <v>12</v>
      </c>
    </row>
    <row r="30" spans="1:3">
      <c r="A30" t="s">
        <v>35</v>
      </c>
      <c r="B30">
        <v>4</v>
      </c>
      <c r="C30">
        <v>13</v>
      </c>
    </row>
    <row r="31" spans="1:3">
      <c r="A31" t="s">
        <v>43</v>
      </c>
      <c r="B31">
        <v>4</v>
      </c>
      <c r="C31">
        <v>13</v>
      </c>
    </row>
    <row r="32" spans="1:3">
      <c r="A32" t="s">
        <v>26</v>
      </c>
      <c r="B32">
        <v>4</v>
      </c>
      <c r="C32">
        <v>13</v>
      </c>
    </row>
    <row r="33" spans="1:3">
      <c r="A33" t="s">
        <v>36</v>
      </c>
      <c r="B33">
        <v>3</v>
      </c>
      <c r="C33">
        <v>14</v>
      </c>
    </row>
    <row r="34" spans="1:3">
      <c r="A34" t="s">
        <v>34</v>
      </c>
      <c r="B34">
        <v>3</v>
      </c>
      <c r="C34">
        <v>14</v>
      </c>
    </row>
    <row r="35" spans="1:3">
      <c r="A35" t="s">
        <v>133</v>
      </c>
      <c r="B35">
        <v>285</v>
      </c>
      <c r="C35">
        <v>285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85CE-E70F-4849-890B-E52B5E03BDD8}">
  <dimension ref="A2:E34"/>
  <sheetViews>
    <sheetView workbookViewId="0">
      <selection activeCell="E25" sqref="E25"/>
    </sheetView>
  </sheetViews>
  <sheetFormatPr defaultRowHeight="15"/>
  <cols>
    <col min="1" max="2" width="25" bestFit="1" customWidth="1"/>
    <col min="3" max="3" width="18.85546875" bestFit="1" customWidth="1"/>
    <col min="4" max="5" width="18.7109375" bestFit="1" customWidth="1"/>
  </cols>
  <sheetData>
    <row r="2" spans="1:5">
      <c r="A2" s="19" t="s">
        <v>71</v>
      </c>
      <c r="B2" t="s">
        <v>134</v>
      </c>
      <c r="C2" t="s">
        <v>135</v>
      </c>
      <c r="D2" t="s">
        <v>136</v>
      </c>
      <c r="E2" t="s">
        <v>137</v>
      </c>
    </row>
    <row r="3" spans="1:5">
      <c r="A3" t="s">
        <v>18</v>
      </c>
      <c r="B3" s="20">
        <v>30.388888888888889</v>
      </c>
      <c r="C3" s="15">
        <v>56</v>
      </c>
      <c r="D3">
        <v>42</v>
      </c>
      <c r="E3">
        <v>-2</v>
      </c>
    </row>
    <row r="4" spans="1:5">
      <c r="A4" t="s">
        <v>16</v>
      </c>
      <c r="B4" s="20">
        <v>29.94736842105263</v>
      </c>
      <c r="C4" s="15">
        <v>48</v>
      </c>
      <c r="D4">
        <v>35</v>
      </c>
      <c r="E4">
        <v>-3</v>
      </c>
    </row>
    <row r="5" spans="1:5">
      <c r="A5" t="s">
        <v>24</v>
      </c>
      <c r="B5" s="20">
        <v>29.789473684210527</v>
      </c>
      <c r="C5" s="15">
        <v>47</v>
      </c>
      <c r="D5">
        <v>40</v>
      </c>
      <c r="E5">
        <v>-3</v>
      </c>
    </row>
    <row r="6" spans="1:5">
      <c r="A6" t="s">
        <v>40</v>
      </c>
      <c r="B6" s="20">
        <v>29.4</v>
      </c>
      <c r="C6" s="15">
        <v>48</v>
      </c>
      <c r="D6">
        <v>39</v>
      </c>
      <c r="E6">
        <v>-1</v>
      </c>
    </row>
    <row r="7" spans="1:5">
      <c r="A7" t="s">
        <v>37</v>
      </c>
      <c r="B7" s="20">
        <v>27.882352941176471</v>
      </c>
      <c r="C7" s="15">
        <v>47</v>
      </c>
      <c r="D7">
        <v>21</v>
      </c>
      <c r="E7">
        <v>-3</v>
      </c>
    </row>
    <row r="8" spans="1:5">
      <c r="A8" t="s">
        <v>48</v>
      </c>
      <c r="B8" s="20">
        <v>27</v>
      </c>
      <c r="C8" s="15">
        <v>38</v>
      </c>
      <c r="D8">
        <v>30</v>
      </c>
      <c r="E8">
        <v>-3</v>
      </c>
    </row>
    <row r="9" spans="1:5">
      <c r="A9" t="s">
        <v>47</v>
      </c>
      <c r="B9" s="20">
        <v>26.611111111111111</v>
      </c>
      <c r="C9" s="15">
        <v>54</v>
      </c>
      <c r="D9">
        <v>41</v>
      </c>
      <c r="E9">
        <v>-1</v>
      </c>
    </row>
    <row r="10" spans="1:5">
      <c r="A10" t="s">
        <v>30</v>
      </c>
      <c r="B10" s="20">
        <v>26.529411764705884</v>
      </c>
      <c r="C10" s="15">
        <v>45</v>
      </c>
      <c r="D10">
        <v>31</v>
      </c>
      <c r="E10">
        <v>-3</v>
      </c>
    </row>
    <row r="11" spans="1:5">
      <c r="A11" t="s">
        <v>27</v>
      </c>
      <c r="B11" s="20">
        <v>26.285714285714285</v>
      </c>
      <c r="C11" s="15">
        <v>41</v>
      </c>
      <c r="D11">
        <v>31</v>
      </c>
      <c r="E11">
        <v>-3</v>
      </c>
    </row>
    <row r="12" spans="1:5">
      <c r="A12" t="s">
        <v>31</v>
      </c>
      <c r="B12" s="20">
        <v>25.555555555555557</v>
      </c>
      <c r="C12" s="15">
        <v>38</v>
      </c>
      <c r="D12">
        <v>26</v>
      </c>
      <c r="E12">
        <v>-3</v>
      </c>
    </row>
    <row r="13" spans="1:5">
      <c r="A13" t="s">
        <v>45</v>
      </c>
      <c r="B13" s="20">
        <v>25.555555555555557</v>
      </c>
      <c r="C13" s="15">
        <v>45</v>
      </c>
      <c r="D13">
        <v>27</v>
      </c>
      <c r="E13">
        <v>-3</v>
      </c>
    </row>
    <row r="14" spans="1:5">
      <c r="A14" t="s">
        <v>21</v>
      </c>
      <c r="B14" s="20">
        <v>25.5</v>
      </c>
      <c r="C14" s="15">
        <v>44</v>
      </c>
      <c r="D14">
        <v>38</v>
      </c>
      <c r="E14">
        <v>-3</v>
      </c>
    </row>
    <row r="15" spans="1:5">
      <c r="A15" t="s">
        <v>28</v>
      </c>
      <c r="B15" s="20">
        <v>25</v>
      </c>
      <c r="C15" s="15">
        <v>36</v>
      </c>
      <c r="D15">
        <v>14</v>
      </c>
      <c r="E15">
        <v>-1</v>
      </c>
    </row>
    <row r="16" spans="1:5">
      <c r="A16" t="s">
        <v>32</v>
      </c>
      <c r="B16" s="20">
        <v>24.166666666666668</v>
      </c>
      <c r="C16" s="15">
        <v>37</v>
      </c>
      <c r="D16">
        <v>31</v>
      </c>
      <c r="E16">
        <v>-3</v>
      </c>
    </row>
    <row r="17" spans="1:5">
      <c r="A17" t="s">
        <v>33</v>
      </c>
      <c r="B17" s="20">
        <v>24</v>
      </c>
      <c r="C17" s="15">
        <v>41</v>
      </c>
      <c r="D17">
        <v>21</v>
      </c>
      <c r="E17">
        <v>-2</v>
      </c>
    </row>
    <row r="18" spans="1:5">
      <c r="A18" t="s">
        <v>29</v>
      </c>
      <c r="B18" s="20">
        <v>23.235294117647058</v>
      </c>
      <c r="C18" s="15">
        <v>51</v>
      </c>
      <c r="D18">
        <v>24</v>
      </c>
      <c r="E18">
        <v>-1</v>
      </c>
    </row>
    <row r="19" spans="1:5">
      <c r="A19" t="s">
        <v>53</v>
      </c>
      <c r="B19" s="20">
        <v>22.764705882352942</v>
      </c>
      <c r="C19" s="15">
        <v>36</v>
      </c>
      <c r="D19">
        <v>28</v>
      </c>
      <c r="E19">
        <v>-1</v>
      </c>
    </row>
    <row r="20" spans="1:5">
      <c r="A20" t="s">
        <v>52</v>
      </c>
      <c r="B20" s="20">
        <v>21.833333333333332</v>
      </c>
      <c r="C20" s="15">
        <v>36</v>
      </c>
      <c r="D20">
        <v>11</v>
      </c>
      <c r="E20">
        <v>-2</v>
      </c>
    </row>
    <row r="21" spans="1:5">
      <c r="A21" t="s">
        <v>44</v>
      </c>
      <c r="B21" s="20">
        <v>21.411764705882351</v>
      </c>
      <c r="C21" s="15">
        <v>38</v>
      </c>
      <c r="D21">
        <v>35</v>
      </c>
      <c r="E21">
        <v>-2</v>
      </c>
    </row>
    <row r="22" spans="1:5">
      <c r="A22" t="s">
        <v>41</v>
      </c>
      <c r="B22" s="20">
        <v>20.529411764705884</v>
      </c>
      <c r="C22" s="15">
        <v>41</v>
      </c>
      <c r="D22">
        <v>25</v>
      </c>
      <c r="E22">
        <v>-2</v>
      </c>
    </row>
    <row r="23" spans="1:5">
      <c r="A23" t="s">
        <v>23</v>
      </c>
      <c r="B23" s="20">
        <v>20.222222222222221</v>
      </c>
      <c r="C23" s="15">
        <v>29</v>
      </c>
      <c r="D23">
        <v>12</v>
      </c>
      <c r="E23">
        <v>-4</v>
      </c>
    </row>
    <row r="24" spans="1:5">
      <c r="A24" t="s">
        <v>46</v>
      </c>
      <c r="B24" s="20">
        <v>20.058823529411764</v>
      </c>
      <c r="C24" s="15">
        <v>33</v>
      </c>
      <c r="D24">
        <v>23</v>
      </c>
      <c r="E24">
        <v>-2</v>
      </c>
    </row>
    <row r="25" spans="1:5">
      <c r="A25" t="s">
        <v>38</v>
      </c>
      <c r="B25" s="20">
        <v>19.705882352941178</v>
      </c>
      <c r="C25" s="15">
        <v>34</v>
      </c>
      <c r="D25">
        <v>15</v>
      </c>
      <c r="E25">
        <v>-4</v>
      </c>
    </row>
    <row r="26" spans="1:5">
      <c r="A26" t="s">
        <v>42</v>
      </c>
      <c r="B26" s="20">
        <v>19.705882352941178</v>
      </c>
      <c r="C26" s="15">
        <v>38</v>
      </c>
      <c r="D26">
        <v>28</v>
      </c>
      <c r="E26">
        <v>-3</v>
      </c>
    </row>
    <row r="27" spans="1:5">
      <c r="A27" t="s">
        <v>34</v>
      </c>
      <c r="B27" s="20">
        <v>19.117647058823529</v>
      </c>
      <c r="C27" s="15">
        <v>37</v>
      </c>
      <c r="D27">
        <v>18</v>
      </c>
      <c r="E27">
        <v>-2</v>
      </c>
    </row>
    <row r="28" spans="1:5">
      <c r="A28" t="s">
        <v>22</v>
      </c>
      <c r="B28" s="20">
        <v>18.411764705882351</v>
      </c>
      <c r="C28" s="15">
        <v>30</v>
      </c>
      <c r="D28">
        <v>8</v>
      </c>
      <c r="E28">
        <v>-4</v>
      </c>
    </row>
    <row r="29" spans="1:5">
      <c r="A29" t="s">
        <v>49</v>
      </c>
      <c r="B29" s="20">
        <v>18.294117647058822</v>
      </c>
      <c r="C29" s="15">
        <v>29</v>
      </c>
      <c r="D29">
        <v>26</v>
      </c>
      <c r="E29">
        <v>-2</v>
      </c>
    </row>
    <row r="30" spans="1:5">
      <c r="A30" t="s">
        <v>26</v>
      </c>
      <c r="B30" s="20">
        <v>18.235294117647058</v>
      </c>
      <c r="C30" s="15">
        <v>34</v>
      </c>
      <c r="D30">
        <v>7</v>
      </c>
      <c r="E30">
        <v>-4</v>
      </c>
    </row>
    <row r="31" spans="1:5">
      <c r="A31" t="s">
        <v>25</v>
      </c>
      <c r="B31" s="20">
        <v>17.882352941176471</v>
      </c>
      <c r="C31" s="15">
        <v>34</v>
      </c>
      <c r="D31">
        <v>24</v>
      </c>
      <c r="E31">
        <v>-3</v>
      </c>
    </row>
    <row r="32" spans="1:5">
      <c r="A32" t="s">
        <v>35</v>
      </c>
      <c r="B32" s="20">
        <v>16.470588235294116</v>
      </c>
      <c r="C32" s="15">
        <v>41</v>
      </c>
      <c r="D32">
        <v>16</v>
      </c>
      <c r="E32">
        <v>-3</v>
      </c>
    </row>
    <row r="33" spans="1:5">
      <c r="A33" t="s">
        <v>43</v>
      </c>
      <c r="B33" s="20">
        <v>15.176470588235293</v>
      </c>
      <c r="C33" s="15">
        <v>27</v>
      </c>
      <c r="D33">
        <v>22</v>
      </c>
      <c r="E33">
        <v>-1</v>
      </c>
    </row>
    <row r="34" spans="1:5">
      <c r="A34" t="s">
        <v>36</v>
      </c>
      <c r="B34" s="20">
        <v>14.882352941176471</v>
      </c>
      <c r="C34" s="15">
        <v>26</v>
      </c>
      <c r="D34">
        <v>15</v>
      </c>
      <c r="E34">
        <v>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BFD6-AF7B-40BB-9F5F-56102C550003}">
  <dimension ref="A3:B35"/>
  <sheetViews>
    <sheetView topLeftCell="A2" workbookViewId="0">
      <selection activeCell="B35" sqref="B35"/>
    </sheetView>
  </sheetViews>
  <sheetFormatPr defaultRowHeight="15"/>
  <cols>
    <col min="1" max="1" width="25" bestFit="1" customWidth="1"/>
    <col min="2" max="2" width="29.5703125" bestFit="1" customWidth="1"/>
    <col min="3" max="5" width="12.5703125" bestFit="1" customWidth="1"/>
    <col min="6" max="6" width="5.140625" bestFit="1" customWidth="1"/>
    <col min="7" max="17" width="12.5703125" bestFit="1" customWidth="1"/>
    <col min="18" max="18" width="5.140625" bestFit="1" customWidth="1"/>
    <col min="19" max="29" width="12.5703125" bestFit="1" customWidth="1"/>
    <col min="30" max="30" width="3.28515625" bestFit="1" customWidth="1"/>
    <col min="31" max="32" width="12.5703125" bestFit="1" customWidth="1"/>
    <col min="33" max="33" width="11.7109375" bestFit="1" customWidth="1"/>
  </cols>
  <sheetData>
    <row r="3" spans="1:2">
      <c r="A3" s="19" t="s">
        <v>71</v>
      </c>
      <c r="B3" t="s">
        <v>138</v>
      </c>
    </row>
    <row r="4" spans="1:2">
      <c r="A4" t="s">
        <v>24</v>
      </c>
      <c r="B4" s="20">
        <v>18.315789473684209</v>
      </c>
    </row>
    <row r="5" spans="1:2">
      <c r="A5" t="s">
        <v>42</v>
      </c>
      <c r="B5" s="20">
        <v>18.941176470588236</v>
      </c>
    </row>
    <row r="6" spans="1:2">
      <c r="A6" t="s">
        <v>47</v>
      </c>
      <c r="B6" s="20">
        <v>19.444444444444443</v>
      </c>
    </row>
    <row r="7" spans="1:2">
      <c r="A7" t="s">
        <v>44</v>
      </c>
      <c r="B7" s="20">
        <v>19.705882352941178</v>
      </c>
    </row>
    <row r="8" spans="1:2">
      <c r="A8" t="s">
        <v>33</v>
      </c>
      <c r="B8" s="20">
        <v>20.6</v>
      </c>
    </row>
    <row r="9" spans="1:2">
      <c r="A9" t="s">
        <v>32</v>
      </c>
      <c r="B9" s="20">
        <v>20.722222222222221</v>
      </c>
    </row>
    <row r="10" spans="1:2">
      <c r="A10" t="s">
        <v>16</v>
      </c>
      <c r="B10" s="20">
        <v>20.94736842105263</v>
      </c>
    </row>
    <row r="11" spans="1:2">
      <c r="A11" t="s">
        <v>18</v>
      </c>
      <c r="B11" s="20">
        <v>21.166666666666668</v>
      </c>
    </row>
    <row r="12" spans="1:2">
      <c r="A12" t="s">
        <v>48</v>
      </c>
      <c r="B12" s="20">
        <v>21.285714285714285</v>
      </c>
    </row>
    <row r="13" spans="1:2">
      <c r="A13" t="s">
        <v>45</v>
      </c>
      <c r="B13" s="20">
        <v>21.333333333333332</v>
      </c>
    </row>
    <row r="14" spans="1:2">
      <c r="A14" t="s">
        <v>30</v>
      </c>
      <c r="B14" s="20">
        <v>21.470588235294116</v>
      </c>
    </row>
    <row r="15" spans="1:2">
      <c r="A15" t="s">
        <v>29</v>
      </c>
      <c r="B15" s="20">
        <v>21.529411764705884</v>
      </c>
    </row>
    <row r="16" spans="1:2">
      <c r="A16" t="s">
        <v>27</v>
      </c>
      <c r="B16" s="20">
        <v>21.80952380952381</v>
      </c>
    </row>
    <row r="17" spans="1:2">
      <c r="A17" t="s">
        <v>41</v>
      </c>
      <c r="B17" s="20">
        <v>21.823529411764707</v>
      </c>
    </row>
    <row r="18" spans="1:2">
      <c r="A18" t="s">
        <v>46</v>
      </c>
      <c r="B18" s="20">
        <v>21.941176470588236</v>
      </c>
    </row>
    <row r="19" spans="1:2">
      <c r="A19" t="s">
        <v>31</v>
      </c>
      <c r="B19" s="20">
        <v>22.222222222222221</v>
      </c>
    </row>
    <row r="20" spans="1:2">
      <c r="A20" t="s">
        <v>40</v>
      </c>
      <c r="B20" s="20">
        <v>22.4</v>
      </c>
    </row>
    <row r="21" spans="1:2">
      <c r="A21" t="s">
        <v>53</v>
      </c>
      <c r="B21" s="20">
        <v>23.058823529411764</v>
      </c>
    </row>
    <row r="22" spans="1:2">
      <c r="A22" t="s">
        <v>21</v>
      </c>
      <c r="B22" s="20">
        <v>23.111111111111111</v>
      </c>
    </row>
    <row r="23" spans="1:2">
      <c r="A23" t="s">
        <v>25</v>
      </c>
      <c r="B23" s="20">
        <v>23.764705882352942</v>
      </c>
    </row>
    <row r="24" spans="1:2">
      <c r="A24" t="s">
        <v>49</v>
      </c>
      <c r="B24" s="20">
        <v>23.941176470588236</v>
      </c>
    </row>
    <row r="25" spans="1:2">
      <c r="A25" t="s">
        <v>23</v>
      </c>
      <c r="B25" s="20">
        <v>24.444444444444443</v>
      </c>
    </row>
    <row r="26" spans="1:2">
      <c r="A26" t="s">
        <v>43</v>
      </c>
      <c r="B26" s="20">
        <v>24.470588235294116</v>
      </c>
    </row>
    <row r="27" spans="1:2">
      <c r="A27" t="s">
        <v>28</v>
      </c>
      <c r="B27" s="20">
        <v>25.058823529411764</v>
      </c>
    </row>
    <row r="28" spans="1:2">
      <c r="A28" t="s">
        <v>38</v>
      </c>
      <c r="B28" s="20">
        <v>25.529411764705884</v>
      </c>
    </row>
    <row r="29" spans="1:2">
      <c r="A29" t="s">
        <v>52</v>
      </c>
      <c r="B29" s="20">
        <v>25.833333333333332</v>
      </c>
    </row>
    <row r="30" spans="1:2">
      <c r="A30" t="s">
        <v>35</v>
      </c>
      <c r="B30" s="20">
        <v>26.588235294117649</v>
      </c>
    </row>
    <row r="31" spans="1:2">
      <c r="A31" t="s">
        <v>36</v>
      </c>
      <c r="B31" s="20">
        <v>26.882352941176471</v>
      </c>
    </row>
    <row r="32" spans="1:2">
      <c r="A32" t="s">
        <v>22</v>
      </c>
      <c r="B32" s="20">
        <v>27</v>
      </c>
    </row>
    <row r="33" spans="1:2">
      <c r="A33" t="s">
        <v>37</v>
      </c>
      <c r="B33" s="20">
        <v>27</v>
      </c>
    </row>
    <row r="34" spans="1:2">
      <c r="A34" t="s">
        <v>34</v>
      </c>
      <c r="B34" s="20">
        <v>27.470588235294116</v>
      </c>
    </row>
    <row r="35" spans="1:2">
      <c r="A35" t="s">
        <v>26</v>
      </c>
      <c r="B35" s="20">
        <v>29.647058823529413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43A3-B784-4B48-8109-C732DCF635C6}">
  <dimension ref="A2:G34"/>
  <sheetViews>
    <sheetView workbookViewId="0">
      <selection activeCell="C17" sqref="C17"/>
    </sheetView>
  </sheetViews>
  <sheetFormatPr defaultRowHeight="15"/>
  <cols>
    <col min="1" max="1" width="25" bestFit="1" customWidth="1"/>
    <col min="2" max="2" width="30.140625" bestFit="1" customWidth="1"/>
    <col min="3" max="3" width="27.28515625" bestFit="1" customWidth="1"/>
    <col min="4" max="4" width="27.42578125" bestFit="1" customWidth="1"/>
    <col min="6" max="6" width="11.7109375" bestFit="1" customWidth="1"/>
    <col min="7" max="7" width="11.140625" bestFit="1" customWidth="1"/>
  </cols>
  <sheetData>
    <row r="2" spans="1:7">
      <c r="A2" s="19" t="s">
        <v>71</v>
      </c>
      <c r="B2" t="s">
        <v>139</v>
      </c>
      <c r="C2" t="s">
        <v>140</v>
      </c>
      <c r="D2" s="21" t="s">
        <v>141</v>
      </c>
      <c r="F2" s="21" t="s">
        <v>142</v>
      </c>
      <c r="G2" s="21" t="s">
        <v>143</v>
      </c>
    </row>
    <row r="3" spans="1:7">
      <c r="A3" t="s">
        <v>18</v>
      </c>
      <c r="B3" s="20">
        <v>34.222222222222221</v>
      </c>
      <c r="C3" s="20">
        <v>26.555555555555557</v>
      </c>
      <c r="D3" s="16">
        <f>B3-C3</f>
        <v>7.6666666666666643</v>
      </c>
      <c r="F3">
        <f>COUNTIF(D:D,"&gt;0")</f>
        <v>22</v>
      </c>
      <c r="G3">
        <f>COUNTIF(D:D,"&lt;0")</f>
        <v>10</v>
      </c>
    </row>
    <row r="4" spans="1:7">
      <c r="A4" t="s">
        <v>16</v>
      </c>
      <c r="B4" s="20">
        <v>32.4</v>
      </c>
      <c r="C4" s="20">
        <v>27.222222222222221</v>
      </c>
      <c r="D4" s="16">
        <f t="shared" ref="D4:D34" si="0">B4-C4</f>
        <v>5.1777777777777771</v>
      </c>
    </row>
    <row r="5" spans="1:7">
      <c r="A5" t="s">
        <v>47</v>
      </c>
      <c r="B5" s="20">
        <v>31.222222222222221</v>
      </c>
      <c r="C5" s="20">
        <v>22</v>
      </c>
      <c r="D5" s="16">
        <f t="shared" si="0"/>
        <v>9.2222222222222214</v>
      </c>
    </row>
    <row r="6" spans="1:7">
      <c r="A6" t="s">
        <v>37</v>
      </c>
      <c r="B6" s="20">
        <v>30.666666666666668</v>
      </c>
      <c r="C6" s="20">
        <v>24.75</v>
      </c>
      <c r="D6" s="16">
        <f t="shared" si="0"/>
        <v>5.9166666666666679</v>
      </c>
    </row>
    <row r="7" spans="1:7">
      <c r="A7" t="s">
        <v>40</v>
      </c>
      <c r="B7" s="20">
        <v>28.583333333333332</v>
      </c>
      <c r="C7" s="20">
        <v>30.625</v>
      </c>
      <c r="D7" s="16">
        <f t="shared" si="0"/>
        <v>-2.0416666666666679</v>
      </c>
    </row>
    <row r="8" spans="1:7">
      <c r="A8" t="s">
        <v>24</v>
      </c>
      <c r="B8" s="20">
        <v>28.4</v>
      </c>
      <c r="C8" s="20">
        <v>31.333333333333332</v>
      </c>
      <c r="D8" s="16">
        <f t="shared" si="0"/>
        <v>-2.9333333333333336</v>
      </c>
    </row>
    <row r="9" spans="1:7">
      <c r="A9" t="s">
        <v>45</v>
      </c>
      <c r="B9" s="20">
        <v>28.333333333333332</v>
      </c>
      <c r="C9" s="20">
        <v>22.777777777777779</v>
      </c>
      <c r="D9" s="16">
        <f t="shared" si="0"/>
        <v>5.5555555555555536</v>
      </c>
    </row>
    <row r="10" spans="1:7">
      <c r="A10" t="s">
        <v>27</v>
      </c>
      <c r="B10" s="20">
        <v>27.6</v>
      </c>
      <c r="C10" s="20">
        <v>25.09090909090909</v>
      </c>
      <c r="D10" s="16">
        <f t="shared" si="0"/>
        <v>2.5090909090909115</v>
      </c>
    </row>
    <row r="11" spans="1:7">
      <c r="A11" t="s">
        <v>30</v>
      </c>
      <c r="B11" s="20">
        <v>27.555555555555557</v>
      </c>
      <c r="C11" s="20">
        <v>25.375</v>
      </c>
      <c r="D11" s="16">
        <f t="shared" si="0"/>
        <v>2.1805555555555571</v>
      </c>
    </row>
    <row r="12" spans="1:7">
      <c r="A12" t="s">
        <v>21</v>
      </c>
      <c r="B12" s="20">
        <v>26.75</v>
      </c>
      <c r="C12" s="20">
        <v>24.5</v>
      </c>
      <c r="D12" s="16">
        <f t="shared" si="0"/>
        <v>2.25</v>
      </c>
    </row>
    <row r="13" spans="1:7">
      <c r="A13" t="s">
        <v>48</v>
      </c>
      <c r="B13" s="20">
        <v>26.363636363636363</v>
      </c>
      <c r="C13" s="20">
        <v>27.7</v>
      </c>
      <c r="D13" s="16">
        <f t="shared" si="0"/>
        <v>-1.336363636363636</v>
      </c>
    </row>
    <row r="14" spans="1:7">
      <c r="A14" t="s">
        <v>29</v>
      </c>
      <c r="B14" s="20">
        <v>25.75</v>
      </c>
      <c r="C14" s="20">
        <v>21</v>
      </c>
      <c r="D14" s="16">
        <f t="shared" si="0"/>
        <v>4.75</v>
      </c>
    </row>
    <row r="15" spans="1:7">
      <c r="A15" t="s">
        <v>53</v>
      </c>
      <c r="B15" s="20">
        <v>25.555555555555557</v>
      </c>
      <c r="C15" s="20">
        <v>19.625</v>
      </c>
      <c r="D15" s="16">
        <f t="shared" si="0"/>
        <v>5.9305555555555571</v>
      </c>
    </row>
    <row r="16" spans="1:7">
      <c r="A16" t="s">
        <v>33</v>
      </c>
      <c r="B16" s="20">
        <v>25.375</v>
      </c>
      <c r="C16" s="20">
        <v>23.083333333333332</v>
      </c>
      <c r="D16" s="16">
        <f t="shared" si="0"/>
        <v>2.2916666666666679</v>
      </c>
    </row>
    <row r="17" spans="1:4">
      <c r="A17" t="s">
        <v>28</v>
      </c>
      <c r="B17" s="20">
        <v>24.5</v>
      </c>
      <c r="C17" s="20">
        <v>25.444444444444443</v>
      </c>
      <c r="D17" s="16">
        <f t="shared" si="0"/>
        <v>-0.94444444444444287</v>
      </c>
    </row>
    <row r="18" spans="1:4">
      <c r="A18" t="s">
        <v>31</v>
      </c>
      <c r="B18" s="20">
        <v>22.75</v>
      </c>
      <c r="C18" s="20">
        <v>27.8</v>
      </c>
      <c r="D18" s="16">
        <f t="shared" si="0"/>
        <v>-5.0500000000000007</v>
      </c>
    </row>
    <row r="19" spans="1:4">
      <c r="A19" t="s">
        <v>32</v>
      </c>
      <c r="B19" s="20">
        <v>22.5</v>
      </c>
      <c r="C19" s="20">
        <v>26.25</v>
      </c>
      <c r="D19" s="16">
        <f t="shared" si="0"/>
        <v>-3.75</v>
      </c>
    </row>
    <row r="20" spans="1:4">
      <c r="A20" t="s">
        <v>46</v>
      </c>
      <c r="B20" s="20">
        <v>22.333333333333332</v>
      </c>
      <c r="C20" s="20">
        <v>17.5</v>
      </c>
      <c r="D20" s="16">
        <f t="shared" si="0"/>
        <v>4.8333333333333321</v>
      </c>
    </row>
    <row r="21" spans="1:4">
      <c r="A21" t="s">
        <v>52</v>
      </c>
      <c r="B21" s="20">
        <v>22.222222222222221</v>
      </c>
      <c r="C21" s="20">
        <v>21.444444444444443</v>
      </c>
      <c r="D21" s="16">
        <f t="shared" si="0"/>
        <v>0.77777777777777857</v>
      </c>
    </row>
    <row r="22" spans="1:4">
      <c r="A22" t="s">
        <v>34</v>
      </c>
      <c r="B22" s="20">
        <v>22.125</v>
      </c>
      <c r="C22" s="20">
        <v>16.444444444444443</v>
      </c>
      <c r="D22" s="16">
        <f t="shared" si="0"/>
        <v>5.6805555555555571</v>
      </c>
    </row>
    <row r="23" spans="1:4">
      <c r="A23" t="s">
        <v>23</v>
      </c>
      <c r="B23" s="20">
        <v>20.777777777777779</v>
      </c>
      <c r="C23" s="20">
        <v>19.666666666666668</v>
      </c>
      <c r="D23" s="16">
        <f t="shared" si="0"/>
        <v>1.1111111111111107</v>
      </c>
    </row>
    <row r="24" spans="1:4">
      <c r="A24" t="s">
        <v>42</v>
      </c>
      <c r="B24" s="20">
        <v>20.777777777777779</v>
      </c>
      <c r="C24" s="20">
        <v>18.5</v>
      </c>
      <c r="D24" s="16">
        <f t="shared" si="0"/>
        <v>2.2777777777777786</v>
      </c>
    </row>
    <row r="25" spans="1:4">
      <c r="A25" t="s">
        <v>44</v>
      </c>
      <c r="B25" s="20">
        <v>20.5</v>
      </c>
      <c r="C25" s="20">
        <v>22.222222222222221</v>
      </c>
      <c r="D25" s="16">
        <f t="shared" si="0"/>
        <v>-1.7222222222222214</v>
      </c>
    </row>
    <row r="26" spans="1:4">
      <c r="A26" t="s">
        <v>38</v>
      </c>
      <c r="B26" s="20">
        <v>20.375</v>
      </c>
      <c r="C26" s="20">
        <v>19.111111111111111</v>
      </c>
      <c r="D26" s="16">
        <f t="shared" si="0"/>
        <v>1.2638888888888893</v>
      </c>
    </row>
    <row r="27" spans="1:4">
      <c r="A27" t="s">
        <v>35</v>
      </c>
      <c r="B27" s="20">
        <v>20.333333333333332</v>
      </c>
      <c r="C27" s="20">
        <v>12.125</v>
      </c>
      <c r="D27" s="16">
        <f t="shared" si="0"/>
        <v>8.2083333333333321</v>
      </c>
    </row>
    <row r="28" spans="1:4">
      <c r="A28" t="s">
        <v>26</v>
      </c>
      <c r="B28" s="20">
        <v>19.777777777777779</v>
      </c>
      <c r="C28" s="20">
        <v>16.5</v>
      </c>
      <c r="D28" s="16">
        <f t="shared" si="0"/>
        <v>3.2777777777777786</v>
      </c>
    </row>
    <row r="29" spans="1:4">
      <c r="A29" t="s">
        <v>49</v>
      </c>
      <c r="B29" s="20">
        <v>19.125</v>
      </c>
      <c r="C29" s="20">
        <v>17.555555555555557</v>
      </c>
      <c r="D29" s="16">
        <f t="shared" si="0"/>
        <v>1.5694444444444429</v>
      </c>
    </row>
    <row r="30" spans="1:4">
      <c r="A30" t="s">
        <v>41</v>
      </c>
      <c r="B30" s="20">
        <v>18.888888888888889</v>
      </c>
      <c r="C30" s="20">
        <v>22.375</v>
      </c>
      <c r="D30" s="16">
        <f t="shared" si="0"/>
        <v>-3.4861111111111107</v>
      </c>
    </row>
    <row r="31" spans="1:4">
      <c r="A31" t="s">
        <v>25</v>
      </c>
      <c r="B31" s="20">
        <v>18.125</v>
      </c>
      <c r="C31" s="20">
        <v>17.666666666666668</v>
      </c>
      <c r="D31" s="16">
        <f t="shared" si="0"/>
        <v>0.45833333333333215</v>
      </c>
    </row>
    <row r="32" spans="1:4">
      <c r="A32" t="s">
        <v>22</v>
      </c>
      <c r="B32" s="20">
        <v>16.625</v>
      </c>
      <c r="C32" s="20">
        <v>20</v>
      </c>
      <c r="D32" s="16">
        <f t="shared" si="0"/>
        <v>-3.375</v>
      </c>
    </row>
    <row r="33" spans="1:4">
      <c r="A33" t="s">
        <v>36</v>
      </c>
      <c r="B33" s="20">
        <v>16.555555555555557</v>
      </c>
      <c r="C33" s="20">
        <v>13</v>
      </c>
      <c r="D33" s="16">
        <f t="shared" si="0"/>
        <v>3.5555555555555571</v>
      </c>
    </row>
    <row r="34" spans="1:4">
      <c r="A34" t="s">
        <v>43</v>
      </c>
      <c r="B34" s="20">
        <v>14</v>
      </c>
      <c r="C34" s="20">
        <v>16.222222222222221</v>
      </c>
      <c r="D34" s="16">
        <f t="shared" si="0"/>
        <v>-2.2222222222222214</v>
      </c>
    </row>
  </sheetData>
  <conditionalFormatting pivot="1" sqref="B3:B34">
    <cfRule type="top10" dxfId="1" priority="2" rank="1"/>
  </conditionalFormatting>
  <conditionalFormatting pivot="1" sqref="C3:C34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2022-02-27T01:21:50Z</dcterms:created>
  <dcterms:modified xsi:type="dcterms:W3CDTF">2022-05-07T02:18:45Z</dcterms:modified>
  <cp:category/>
  <cp:contentStatus/>
</cp:coreProperties>
</file>